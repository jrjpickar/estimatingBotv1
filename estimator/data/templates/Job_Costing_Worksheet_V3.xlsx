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Costing" sheetId="1" r:id="rId5"/>
    <sheet state="visible" name="Comp Job" sheetId="2" r:id="rId6"/>
    <sheet state="visible" name="Raw Takeoffs" sheetId="3" r:id="rId7"/>
    <sheet state="visible" name="Concrete &amp; Cost Reference" sheetId="4" r:id="rId8"/>
  </sheets>
  <definedNames/>
  <calcPr/>
</workbook>
</file>

<file path=xl/sharedStrings.xml><?xml version="1.0" encoding="utf-8"?>
<sst xmlns="http://schemas.openxmlformats.org/spreadsheetml/2006/main" count="443" uniqueCount="143">
  <si>
    <t>Run Timestamp</t>
  </si>
  <si>
    <t>JOB COSTING WORKSHEET</t>
  </si>
  <si>
    <t>RAW TAKEOFFS</t>
  </si>
  <si>
    <t>Best Match – Job Name</t>
  </si>
  <si>
    <t>CONCRETE COVERAGE &amp; COST REFERENCE</t>
  </si>
  <si>
    <t>Estimate Number</t>
  </si>
  <si>
    <t>Best Match – Proposal Total</t>
  </si>
  <si>
    <t>Best Match – Similarity Score</t>
  </si>
  <si>
    <t>Best Match – Confidence</t>
  </si>
  <si>
    <t>Best Match – Why Comparable</t>
  </si>
  <si>
    <t>Legend: yellow = enter your own numbers here. Everything else recalculates automatically.</t>
  </si>
  <si>
    <t>Best Match – Important Differences</t>
  </si>
  <si>
    <t>Runner Up – Why Comparable</t>
  </si>
  <si>
    <t>Best Match – Recommended Use</t>
  </si>
  <si>
    <t>Runner Up – Job Name (just one, as a backup reference)</t>
  </si>
  <si>
    <t>Runner Up – Similarity Score</t>
  </si>
  <si>
    <t>CLASSIFICATION SUMMARY</t>
  </si>
  <si>
    <t>Job Name:</t>
  </si>
  <si>
    <t>TRUCK LOAD SETTINGS</t>
  </si>
  <si>
    <t>Stack exports raw takeoff line items into columns A-G below. A Make.com scenario reads each new row and auto-fills Section + Category (H, I) to match the Job Costing tabs.</t>
  </si>
  <si>
    <t>Truck Load Size</t>
  </si>
  <si>
    <t>cu yd</t>
  </si>
  <si>
    <t>Totals by Section + Category, pulled live from the table on the left. Copy these into the matching Qty/Rate on the Job Costing sheet.</t>
  </si>
  <si>
    <t>Standard mixer truck ≈ 10 yd³ (8–11 yd³ depending on the outfit)</t>
  </si>
  <si>
    <t>Date:</t>
  </si>
  <si>
    <t>SLAB COVERAGE — SQ FT PER TRUCK LOAD</t>
  </si>
  <si>
    <t>Thickness (in)</t>
  </si>
  <si>
    <t>Section options: Interior, Exterior, Grading   |   Category options: Labor, Hotel, Hauling, Equipment, Fuel, Misc   |   Status: New, Classified, Reviewed, Pushed</t>
  </si>
  <si>
    <t>Cu Yd per Truck Load (calc)</t>
  </si>
  <si>
    <t>Truck Loads</t>
  </si>
  <si>
    <t>Coverage (Sq Ft)</t>
  </si>
  <si>
    <t>Date</t>
  </si>
  <si>
    <t>INTERIOR</t>
  </si>
  <si>
    <t>Stack Item / Description</t>
  </si>
  <si>
    <t>Stack Group</t>
  </si>
  <si>
    <t>Qty</t>
  </si>
  <si>
    <t>Unit</t>
  </si>
  <si>
    <t>Unit Cost ($)</t>
  </si>
  <si>
    <t>Extended Cost ($)</t>
  </si>
  <si>
    <t>Section</t>
  </si>
  <si>
    <t>Category</t>
  </si>
  <si>
    <t>Status</t>
  </si>
  <si>
    <t>Notes</t>
  </si>
  <si>
    <t>Total ($)</t>
  </si>
  <si>
    <t>Description</t>
  </si>
  <si>
    <t>Rate ($)</t>
  </si>
  <si>
    <t>Line Total ($)</t>
  </si>
  <si>
    <t>Labor</t>
  </si>
  <si>
    <t>Custom:</t>
  </si>
  <si>
    <t>Hotel</t>
  </si>
  <si>
    <t>Interior</t>
  </si>
  <si>
    <t>Formula: Coverage (sq ft) = (Cu Yd × 324) ÷ Thickness (in)   |   Cu Yd Needed = (Sq Ft × Thickness) ÷ 324</t>
  </si>
  <si>
    <t>Hauling</t>
  </si>
  <si>
    <t>FOOTING / CURB COVERAGE — LINEAR FT PER TRUCK LOAD</t>
  </si>
  <si>
    <t>Width (in)</t>
  </si>
  <si>
    <t>Depth (in)</t>
  </si>
  <si>
    <t>Coverage (Linear Ft)</t>
  </si>
  <si>
    <t>Equipment</t>
  </si>
  <si>
    <t>Fuel</t>
  </si>
  <si>
    <t>Formula: Linear Ft = (Cu Yd × 27) ÷ (Width ft × Depth ft)   |   Width/Depth entered in inches, converted automatically</t>
  </si>
  <si>
    <t>Misc</t>
  </si>
  <si>
    <t>LABOR &amp; EQUIPMENT COST REFERENCE</t>
  </si>
  <si>
    <t>Service / Equipment</t>
  </si>
  <si>
    <t>Pricing Note</t>
  </si>
  <si>
    <t>Labor Services</t>
  </si>
  <si>
    <t>General Clean Up Labor - 8 HR Minimum / Trash Pick Up Labor - 4 HR Minimum</t>
  </si>
  <si>
    <t>INTERIOR SUBTOTAL</t>
  </si>
  <si>
    <t>Hour</t>
  </si>
  <si>
    <t>Leadsman - General Clean Up Labor - 8 HR Minimum / Driver - Trash Pick Up Labor - 5 HR Minimum</t>
  </si>
  <si>
    <t>Skilled Labor - 8 HR Minimum</t>
  </si>
  <si>
    <t>Skilled Leadsman Labor - 8 HR Minimum</t>
  </si>
  <si>
    <t>Trucking &amp; Hauling</t>
  </si>
  <si>
    <t>Full Truck Load</t>
  </si>
  <si>
    <t>Trip</t>
  </si>
  <si>
    <t>Excludes dump fees</t>
  </si>
  <si>
    <t>1/2 Truck Load</t>
  </si>
  <si>
    <t>Dump Fees</t>
  </si>
  <si>
    <t>Ton</t>
  </si>
  <si>
    <t>Starting rate; cost per ton varies by disposal center</t>
  </si>
  <si>
    <t>Bobcat with Operator</t>
  </si>
  <si>
    <t>Mini Excavator with Operator</t>
  </si>
  <si>
    <t>Bobcat with Operator and Breaker</t>
  </si>
  <si>
    <t>Mini Excavator with Operator and Breaker</t>
  </si>
  <si>
    <t>Roll-Off Containers</t>
  </si>
  <si>
    <t>40 Yard Container - Within Orange County</t>
  </si>
  <si>
    <t>Container</t>
  </si>
  <si>
    <t>Includes up to 5 tons; going rate per ton thereafter</t>
  </si>
  <si>
    <t>40 Yard Container - Outside Orange County</t>
  </si>
  <si>
    <t>EXTERIOR</t>
  </si>
  <si>
    <t>Low Boy - Clean Concrete or Dirt Only</t>
  </si>
  <si>
    <t>Low Boy - Mixed Dirt and Concrete Only</t>
  </si>
  <si>
    <t>Daily Equipment Rentals</t>
  </si>
  <si>
    <t>Gas Compressor</t>
  </si>
  <si>
    <t>Day</t>
  </si>
  <si>
    <t>Compactor</t>
  </si>
  <si>
    <t>Generator</t>
  </si>
  <si>
    <t>Pressure Washer</t>
  </si>
  <si>
    <t>Gas Water Pump</t>
  </si>
  <si>
    <t>Fan Blowers</t>
  </si>
  <si>
    <t>Multi-Tool and Blade</t>
  </si>
  <si>
    <t>Blade charges may apply</t>
  </si>
  <si>
    <t>Shop Vac</t>
  </si>
  <si>
    <t>Chipping Hammer</t>
  </si>
  <si>
    <t>60 lb. Jack Hammer and Cord</t>
  </si>
  <si>
    <t>Tow-Behind Compressor, 90 lb. Jack Hammer, Hoses, Diesel Fuel and Delivery</t>
  </si>
  <si>
    <t>Bobcat Breaker</t>
  </si>
  <si>
    <t>Exterior</t>
  </si>
  <si>
    <t>Cordless Rotary Hammer Drill Set</t>
  </si>
  <si>
    <t>Skill Saw and Blade</t>
  </si>
  <si>
    <t>Quickie Saw and Blade</t>
  </si>
  <si>
    <t>Small Grinder and Blade</t>
  </si>
  <si>
    <t>Large Grinder and Blade</t>
  </si>
  <si>
    <t>Industrial Weed Cutter and Blade</t>
  </si>
  <si>
    <t>Sawzall and Blade</t>
  </si>
  <si>
    <t>Chain Saw and Chain</t>
  </si>
  <si>
    <t>50 ft. 12 Gauge Extension Cord</t>
  </si>
  <si>
    <t>Equipment Rentals - LGP</t>
  </si>
  <si>
    <t>Mini Skid Steer - 37 in. Wide Wheeled</t>
  </si>
  <si>
    <t>LGP Equipment Rentals Inc. - Bell Gardens, CA</t>
  </si>
  <si>
    <t>Week</t>
  </si>
  <si>
    <t>Month</t>
  </si>
  <si>
    <t>Full Sized Skid Steer - 72 in. Wide Wheeled</t>
  </si>
  <si>
    <t>8k Mini Excavator</t>
  </si>
  <si>
    <t>EXTERIOR SUBTOTAL</t>
  </si>
  <si>
    <t>20k Excavator</t>
  </si>
  <si>
    <t>30k Excavator</t>
  </si>
  <si>
    <t>56k Excavator</t>
  </si>
  <si>
    <t>Breaker Attachment 500lb (Skidsteer/Mini Ex)</t>
  </si>
  <si>
    <t>GRADING</t>
  </si>
  <si>
    <t>Breaker Attachment 1,000lb (20k Excavator)</t>
  </si>
  <si>
    <t>Blue Island Attachment</t>
  </si>
  <si>
    <t>Ride On Scraper (Ride Along Floor Scraper)</t>
  </si>
  <si>
    <t>Scissor Lift 15 ft Electric</t>
  </si>
  <si>
    <t>Grading</t>
  </si>
  <si>
    <t>Scissor Lift 19 ft Electric</t>
  </si>
  <si>
    <t>Scissor Lift 26 ft Electric</t>
  </si>
  <si>
    <t>Scissor Lift 32 ft Electric</t>
  </si>
  <si>
    <t>Scissor Lift 40 ft Electric</t>
  </si>
  <si>
    <t>GRADING SUBTOTAL</t>
  </si>
  <si>
    <t>TOTAL JOB COST</t>
  </si>
  <si>
    <t>Markup %</t>
  </si>
  <si>
    <t>TOTAL PRICE TO CUSTOMER</t>
  </si>
  <si>
    <t>GRAND TOTAL (RAW TAKEOFFS)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</si>
</sst>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_);_(@_)"/>
    <numFmt numFmtId="165" formatCode="#,##0.0"/>
    <numFmt numFmtId="166" formatCode="#,##0&quot; sq ft&quot;"/>
    <numFmt numFmtId="167" formatCode="#,##0.##;\-#,##0.##;\-"/>
    <numFmt numFmtId="168" formatCode="\$#,##0;&quot;($&quot;#,##0\);\-"/>
    <numFmt numFmtId="169" formatCode="#,##0;\-#,##0;\-"/>
    <numFmt numFmtId="170" formatCode="0.0"/>
    <numFmt numFmtId="171" formatCode="#,##0&quot; ln ft&quot;"/>
    <numFmt numFmtId="172" formatCode="$#,##0.00"/>
    <numFmt numFmtId="173" formatCode="0.0%;\-0.0%;\-"/>
  </numFmts>
  <fonts count="15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3.0"/>
      <color theme="1"/>
      <name val="Calibri"/>
    </font>
    <font/>
    <font>
      <sz val="11.0"/>
      <color theme="1"/>
      <name val="Calibri"/>
    </font>
    <font>
      <i/>
      <sz val="9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sz val="10.0"/>
      <color rgb="FF0000FF"/>
      <name val="Arial"/>
    </font>
    <font>
      <i/>
      <sz val="10.0"/>
      <color rgb="FF595959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E36C0A"/>
        <bgColor rgb="FFE36C0A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</fills>
  <borders count="11">
    <border/>
    <border>
      <left/>
      <top/>
      <bottom/>
    </border>
    <border>
      <top/>
      <bottom/>
    </border>
    <border>
      <left/>
      <right/>
      <top/>
      <bottom/>
    </border>
    <border>
      <left/>
      <top/>
    </border>
    <border>
      <top/>
    </border>
    <border>
      <left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3" fontId="2" numFmtId="0" xfId="0" applyAlignment="1" applyFill="1" applyFont="1">
      <alignment vertical="bottom"/>
    </xf>
    <xf borderId="2" fillId="0" fontId="3" numFmtId="0" xfId="0" applyBorder="1" applyFont="1"/>
    <xf borderId="0" fillId="2" fontId="1" numFmtId="0" xfId="0" applyAlignment="1" applyFill="1" applyFont="1">
      <alignment horizontal="center" vertical="center"/>
    </xf>
    <xf borderId="0" fillId="3" fontId="2" numFmtId="164" xfId="0" applyAlignment="1" applyFill="1" applyFont="1" applyNumberFormat="1">
      <alignment vertical="bottom"/>
    </xf>
    <xf borderId="0" fillId="0" fontId="4" numFmtId="0" xfId="0" applyFont="1"/>
    <xf borderId="0" fillId="0" fontId="5" numFmtId="0" xfId="0" applyAlignment="1" applyFont="1">
      <alignment horizontal="left"/>
    </xf>
    <xf borderId="3" fillId="4" fontId="4" numFmtId="0" xfId="0" applyAlignment="1" applyBorder="1" applyFill="1" applyFont="1">
      <alignment vertical="bottom"/>
    </xf>
    <xf borderId="0" fillId="3" fontId="4" numFmtId="0" xfId="0" applyAlignment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7" numFmtId="0" xfId="0" applyAlignment="1" applyFill="1" applyFont="1">
      <alignment horizontal="center" vertical="center"/>
    </xf>
    <xf borderId="1" fillId="7" fontId="8" numFmtId="0" xfId="0" applyAlignment="1" applyBorder="1" applyFill="1" applyFont="1">
      <alignment vertical="bottom"/>
    </xf>
    <xf borderId="0" fillId="5" fontId="4" numFmtId="164" xfId="0" applyAlignment="1" applyFill="1" applyFont="1" applyNumberFormat="1">
      <alignment horizontal="right" vertical="bottom"/>
    </xf>
    <xf borderId="0" fillId="5" fontId="4" numFmtId="0" xfId="0" applyAlignment="1" applyFill="1" applyFont="1">
      <alignment horizontal="right" vertical="bottom"/>
    </xf>
    <xf borderId="1" fillId="4" fontId="9" numFmtId="0" xfId="0" applyAlignment="1" applyBorder="1" applyFill="1" applyFont="1">
      <alignment vertical="bottom"/>
    </xf>
    <xf borderId="0" fillId="0" fontId="6" numFmtId="0" xfId="0" applyFont="1"/>
    <xf borderId="0" fillId="7" fontId="8" numFmtId="165" xfId="0" applyAlignment="1" applyFill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5" fontId="4" numFmtId="164" xfId="0" applyAlignment="1" applyFill="1" applyFont="1" applyNumberFormat="1">
      <alignment vertical="bottom"/>
    </xf>
    <xf borderId="0" fillId="0" fontId="11" numFmtId="0" xfId="0" applyFont="1"/>
    <xf borderId="4" fillId="4" fontId="9" numFmtId="0" xfId="0" applyAlignment="1" applyBorder="1" applyFill="1" applyFont="1">
      <alignment shrinkToFit="0" vertical="top" wrapText="1"/>
    </xf>
    <xf borderId="5" fillId="0" fontId="3" numFmtId="0" xfId="0" applyBorder="1" applyFont="1"/>
    <xf borderId="0" fillId="8" fontId="12" numFmtId="0" xfId="0" applyAlignment="1" applyFill="1" applyFont="1">
      <alignment horizontal="center" vertical="center"/>
    </xf>
    <xf borderId="0" fillId="7" fontId="8" numFmtId="1" xfId="0" applyAlignment="1" applyFill="1" applyFont="1" applyNumberFormat="1">
      <alignment horizontal="center" vertical="center"/>
    </xf>
    <xf borderId="6" fillId="0" fontId="3" numFmtId="0" xfId="0" applyBorder="1" applyFont="1"/>
    <xf borderId="0" fillId="0" fontId="10" numFmtId="3" xfId="0" applyAlignment="1" applyFont="1" applyNumberFormat="1">
      <alignment horizontal="center" vertical="center"/>
    </xf>
    <xf borderId="7" fillId="8" fontId="12" numFmtId="0" xfId="0" applyAlignment="1" applyBorder="1" applyFill="1" applyFont="1">
      <alignment horizontal="center" shrinkToFit="0" vertical="center" wrapText="1"/>
    </xf>
    <xf borderId="0" fillId="0" fontId="10" numFmtId="1" xfId="0" applyAlignment="1" applyFont="1" applyNumberFormat="1">
      <alignment horizontal="center" vertical="center"/>
    </xf>
    <xf borderId="1" fillId="6" fontId="7" numFmtId="0" xfId="0" applyAlignment="1" applyBorder="1" applyFill="1" applyFont="1">
      <alignment horizontal="left" vertical="center"/>
    </xf>
    <xf borderId="7" fillId="8" fontId="12" numFmtId="0" xfId="0" applyAlignment="1" applyBorder="1" applyFill="1" applyFont="1">
      <alignment horizontal="center" vertical="bottom"/>
    </xf>
    <xf borderId="0" fillId="9" fontId="6" numFmtId="166" xfId="0" applyAlignment="1" applyFill="1" applyFont="1" applyNumberFormat="1">
      <alignment horizontal="center" vertical="center"/>
    </xf>
    <xf borderId="7" fillId="4" fontId="10" numFmtId="0" xfId="0" applyAlignment="1" applyBorder="1" applyFill="1" applyFont="1">
      <alignment vertical="bottom"/>
    </xf>
    <xf borderId="7" fillId="8" fontId="12" numFmtId="0" xfId="0" applyAlignment="1" applyBorder="1" applyFill="1" applyFont="1">
      <alignment horizontal="left" vertical="bottom"/>
    </xf>
    <xf borderId="7" fillId="4" fontId="10" numFmtId="167" xfId="0" applyAlignment="1" applyBorder="1" applyFill="1" applyFont="1" applyNumberFormat="1">
      <alignment vertical="bottom"/>
    </xf>
    <xf borderId="7" fillId="4" fontId="10" numFmtId="168" xfId="0" applyAlignment="1" applyBorder="1" applyFill="1" applyFont="1" applyNumberFormat="1">
      <alignment vertical="bottom"/>
    </xf>
    <xf borderId="7" fillId="7" fontId="8" numFmtId="169" xfId="0" applyAlignment="1" applyBorder="1" applyFill="1" applyFont="1" applyNumberFormat="1">
      <alignment vertical="bottom"/>
    </xf>
    <xf borderId="7" fillId="7" fontId="8" numFmtId="168" xfId="0" applyAlignment="1" applyBorder="1" applyFill="1" applyFont="1" applyNumberFormat="1">
      <alignment vertical="bottom"/>
    </xf>
    <xf borderId="0" fillId="7" fontId="8" numFmtId="170" xfId="0" applyAlignment="1" applyFill="1" applyFont="1" applyNumberFormat="1">
      <alignment horizontal="center" vertical="center"/>
    </xf>
    <xf borderId="7" fillId="4" fontId="13" numFmtId="168" xfId="0" applyAlignment="1" applyBorder="1" applyFill="1" applyFont="1" applyNumberFormat="1">
      <alignment vertical="bottom"/>
    </xf>
    <xf borderId="7" fillId="7" fontId="10" numFmtId="0" xfId="0" applyAlignment="1" applyBorder="1" applyFill="1" applyFont="1">
      <alignment vertical="bottom"/>
    </xf>
    <xf borderId="0" fillId="0" fontId="10" numFmtId="0" xfId="0" applyFont="1"/>
    <xf borderId="0" fillId="9" fontId="6" numFmtId="171" xfId="0" applyAlignment="1" applyFill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0" numFmtId="172" xfId="0" applyAlignment="1" applyFont="1" applyNumberFormat="1">
      <alignment horizontal="center" vertical="center"/>
    </xf>
    <xf borderId="0" fillId="0" fontId="11" numFmtId="0" xfId="0" applyAlignment="1" applyFont="1">
      <alignment horizontal="left" shrinkToFit="0" vertical="center" wrapText="1"/>
    </xf>
    <xf borderId="8" fillId="9" fontId="6" numFmtId="0" xfId="0" applyAlignment="1" applyBorder="1" applyFill="1" applyFont="1">
      <alignment horizontal="right" vertical="bottom"/>
    </xf>
    <xf borderId="0" fillId="10" fontId="10" numFmtId="0" xfId="0" applyAlignment="1" applyFill="1" applyFont="1">
      <alignment vertical="center"/>
    </xf>
    <xf borderId="0" fillId="10" fontId="10" numFmtId="0" xfId="0" applyAlignment="1" applyFill="1" applyFont="1">
      <alignment horizontal="left" shrinkToFit="0" vertical="center" wrapText="1"/>
    </xf>
    <xf borderId="9" fillId="0" fontId="3" numFmtId="0" xfId="0" applyBorder="1" applyFont="1"/>
    <xf borderId="0" fillId="10" fontId="10" numFmtId="172" xfId="0" applyAlignment="1" applyFill="1" applyFont="1" applyNumberFormat="1">
      <alignment horizontal="center" vertical="center"/>
    </xf>
    <xf borderId="10" fillId="0" fontId="3" numFmtId="0" xfId="0" applyBorder="1" applyFont="1"/>
    <xf borderId="0" fillId="10" fontId="10" numFmtId="0" xfId="0" applyAlignment="1" applyFill="1" applyFont="1">
      <alignment horizontal="center" vertical="center"/>
    </xf>
    <xf borderId="0" fillId="10" fontId="11" numFmtId="0" xfId="0" applyAlignment="1" applyFill="1" applyFont="1">
      <alignment horizontal="left" shrinkToFit="0" vertical="center" wrapText="1"/>
    </xf>
    <xf borderId="7" fillId="9" fontId="6" numFmtId="168" xfId="0" applyAlignment="1" applyBorder="1" applyFill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2" fontId="7" numFmtId="0" xfId="0" applyAlignment="1" applyBorder="1" applyFill="1" applyFont="1">
      <alignment horizontal="right" vertical="bottom"/>
    </xf>
    <xf borderId="3" fillId="2" fontId="7" numFmtId="168" xfId="0" applyAlignment="1" applyBorder="1" applyFill="1" applyFont="1" applyNumberFormat="1">
      <alignment vertical="bottom"/>
    </xf>
    <xf borderId="1" fillId="4" fontId="6" numFmtId="0" xfId="0" applyAlignment="1" applyBorder="1" applyFill="1" applyFont="1">
      <alignment horizontal="right" vertical="bottom"/>
    </xf>
    <xf borderId="3" fillId="7" fontId="8" numFmtId="173" xfId="0" applyAlignment="1" applyBorder="1" applyFill="1" applyFont="1" applyNumberFormat="1">
      <alignment vertical="bottom"/>
    </xf>
    <xf borderId="1" fillId="2" fontId="14" numFmtId="0" xfId="0" applyAlignment="1" applyBorder="1" applyFill="1" applyFont="1">
      <alignment horizontal="right" vertical="bottom"/>
    </xf>
    <xf borderId="3" fillId="2" fontId="14" numFmtId="168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0.0"/>
    <col customWidth="1" min="4" max="4" width="12.0"/>
    <col customWidth="1" min="5" max="5" width="14.0"/>
    <col customWidth="1" min="6" max="6" width="8.71"/>
  </cols>
  <sheetData>
    <row r="1" ht="25.5" customHeight="1">
      <c r="A1" s="1" t="s">
        <v>1</v>
      </c>
      <c r="B1" s="3"/>
      <c r="C1" s="3"/>
      <c r="D1" s="3"/>
      <c r="E1" s="3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10" t="s">
        <v>17</v>
      </c>
      <c r="B2" s="3"/>
      <c r="C2" s="13"/>
      <c r="D2" s="3"/>
      <c r="E2" s="3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10" t="s">
        <v>24</v>
      </c>
      <c r="B3" s="3"/>
      <c r="C3" s="13"/>
      <c r="D3" s="3"/>
      <c r="E3" s="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6" t="s">
        <v>10</v>
      </c>
      <c r="B4" s="3"/>
      <c r="C4" s="3"/>
      <c r="D4" s="3"/>
      <c r="E4" s="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8"/>
      <c r="B5" s="8"/>
      <c r="C5" s="8"/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30" t="s">
        <v>32</v>
      </c>
      <c r="B6" s="3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1" t="s">
        <v>40</v>
      </c>
      <c r="B7" s="34" t="s">
        <v>44</v>
      </c>
      <c r="C7" s="31" t="s">
        <v>35</v>
      </c>
      <c r="D7" s="31" t="s">
        <v>45</v>
      </c>
      <c r="E7" s="31" t="s">
        <v>46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3" t="s">
        <v>47</v>
      </c>
      <c r="B8" s="33"/>
      <c r="C8" s="37"/>
      <c r="D8" s="38"/>
      <c r="E8" s="40">
        <f t="shared" ref="E8:E14" si="1">C8*D8</f>
        <v>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3" t="s">
        <v>49</v>
      </c>
      <c r="B9" s="33"/>
      <c r="C9" s="37"/>
      <c r="D9" s="38"/>
      <c r="E9" s="40">
        <f t="shared" si="1"/>
        <v>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3" t="s">
        <v>52</v>
      </c>
      <c r="B10" s="33"/>
      <c r="C10" s="37"/>
      <c r="D10" s="38"/>
      <c r="E10" s="40">
        <f t="shared" si="1"/>
        <v>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3" t="s">
        <v>57</v>
      </c>
      <c r="B11" s="33"/>
      <c r="C11" s="37"/>
      <c r="D11" s="38"/>
      <c r="E11" s="40">
        <f t="shared" si="1"/>
        <v>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3" t="s">
        <v>57</v>
      </c>
      <c r="B12" s="33"/>
      <c r="C12" s="37"/>
      <c r="D12" s="38"/>
      <c r="E12" s="40">
        <f t="shared" si="1"/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33" t="s">
        <v>58</v>
      </c>
      <c r="B13" s="33"/>
      <c r="C13" s="37"/>
      <c r="D13" s="38"/>
      <c r="E13" s="40">
        <f t="shared" si="1"/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3" t="s">
        <v>60</v>
      </c>
      <c r="B14" s="33"/>
      <c r="C14" s="37"/>
      <c r="D14" s="38"/>
      <c r="E14" s="40">
        <f t="shared" si="1"/>
        <v>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48" t="s">
        <v>66</v>
      </c>
      <c r="B15" s="51"/>
      <c r="C15" s="51"/>
      <c r="D15" s="53"/>
      <c r="E15" s="56">
        <f>SUM(E8:E14)</f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0" t="s">
        <v>88</v>
      </c>
      <c r="B17" s="3"/>
      <c r="C17" s="3"/>
      <c r="D17" s="3"/>
      <c r="E17" s="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1" t="s">
        <v>40</v>
      </c>
      <c r="B18" s="34" t="s">
        <v>44</v>
      </c>
      <c r="C18" s="31" t="s">
        <v>35</v>
      </c>
      <c r="D18" s="31" t="s">
        <v>45</v>
      </c>
      <c r="E18" s="31" t="s">
        <v>46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33" t="s">
        <v>47</v>
      </c>
      <c r="B19" s="33"/>
      <c r="C19" s="37"/>
      <c r="D19" s="38"/>
      <c r="E19" s="40">
        <f t="shared" ref="E19:E25" si="2">C19*D19</f>
        <v>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33" t="s">
        <v>52</v>
      </c>
      <c r="B20" s="33"/>
      <c r="C20" s="37"/>
      <c r="D20" s="38"/>
      <c r="E20" s="40">
        <f t="shared" si="2"/>
        <v>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3" t="s">
        <v>57</v>
      </c>
      <c r="B21" s="33"/>
      <c r="C21" s="37"/>
      <c r="D21" s="38"/>
      <c r="E21" s="40">
        <f t="shared" si="2"/>
        <v>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3" t="s">
        <v>57</v>
      </c>
      <c r="B22" s="33"/>
      <c r="C22" s="37"/>
      <c r="D22" s="38"/>
      <c r="E22" s="40">
        <f t="shared" si="2"/>
        <v>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3" t="s">
        <v>57</v>
      </c>
      <c r="B23" s="33"/>
      <c r="C23" s="37"/>
      <c r="D23" s="38"/>
      <c r="E23" s="40">
        <f t="shared" si="2"/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33" t="s">
        <v>58</v>
      </c>
      <c r="B24" s="33"/>
      <c r="C24" s="37"/>
      <c r="D24" s="38"/>
      <c r="E24" s="40">
        <f t="shared" si="2"/>
        <v>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33" t="s">
        <v>60</v>
      </c>
      <c r="B25" s="33"/>
      <c r="C25" s="37"/>
      <c r="D25" s="38"/>
      <c r="E25" s="40">
        <f t="shared" si="2"/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48" t="s">
        <v>123</v>
      </c>
      <c r="B26" s="51"/>
      <c r="C26" s="51"/>
      <c r="D26" s="53"/>
      <c r="E26" s="56">
        <f>SUM(E19:E25)</f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8"/>
      <c r="B27" s="8"/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30" t="s">
        <v>128</v>
      </c>
      <c r="B28" s="3"/>
      <c r="C28" s="3"/>
      <c r="D28" s="3"/>
      <c r="E28" s="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31" t="s">
        <v>40</v>
      </c>
      <c r="B29" s="34" t="s">
        <v>44</v>
      </c>
      <c r="C29" s="31" t="s">
        <v>35</v>
      </c>
      <c r="D29" s="31" t="s">
        <v>45</v>
      </c>
      <c r="E29" s="31" t="s">
        <v>46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33" t="s">
        <v>47</v>
      </c>
      <c r="B30" s="33"/>
      <c r="C30" s="37"/>
      <c r="D30" s="38"/>
      <c r="E30" s="40">
        <f t="shared" ref="E30:E34" si="3">C30*D30</f>
        <v>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33" t="s">
        <v>52</v>
      </c>
      <c r="B31" s="33"/>
      <c r="C31" s="37"/>
      <c r="D31" s="38"/>
      <c r="E31" s="40">
        <f t="shared" si="3"/>
        <v>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33" t="s">
        <v>57</v>
      </c>
      <c r="B32" s="33"/>
      <c r="C32" s="37"/>
      <c r="D32" s="38"/>
      <c r="E32" s="40">
        <f t="shared" si="3"/>
        <v>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33" t="s">
        <v>58</v>
      </c>
      <c r="B33" s="33"/>
      <c r="C33" s="37"/>
      <c r="D33" s="38"/>
      <c r="E33" s="40">
        <f t="shared" si="3"/>
        <v>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33" t="s">
        <v>60</v>
      </c>
      <c r="B34" s="33"/>
      <c r="C34" s="37"/>
      <c r="D34" s="38"/>
      <c r="E34" s="40">
        <f t="shared" si="3"/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48" t="s">
        <v>138</v>
      </c>
      <c r="B35" s="51"/>
      <c r="C35" s="51"/>
      <c r="D35" s="53"/>
      <c r="E35" s="56">
        <f>SUM(E30:E34)</f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8"/>
      <c r="B36" s="8"/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59" t="s">
        <v>139</v>
      </c>
      <c r="B37" s="3"/>
      <c r="C37" s="3"/>
      <c r="D37" s="3"/>
      <c r="E37" s="60">
        <f>E15+E26+E35</f>
        <v>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61" t="s">
        <v>140</v>
      </c>
      <c r="B38" s="3"/>
      <c r="C38" s="3"/>
      <c r="D38" s="3"/>
      <c r="E38" s="6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59" t="s">
        <v>141</v>
      </c>
      <c r="B39" s="3"/>
      <c r="C39" s="3"/>
      <c r="D39" s="3"/>
      <c r="E39" s="60">
        <f>E37*(1+E38)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7"/>
      <c r="B40" s="57"/>
      <c r="C40" s="57"/>
      <c r="D40" s="57"/>
      <c r="E40" s="5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7"/>
      <c r="B41" s="57"/>
      <c r="C41" s="57"/>
      <c r="D41" s="57"/>
      <c r="E41" s="5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7"/>
      <c r="B42" s="57"/>
      <c r="C42" s="57"/>
      <c r="D42" s="57"/>
      <c r="E42" s="5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7"/>
      <c r="B43" s="57"/>
      <c r="C43" s="57"/>
      <c r="D43" s="57"/>
      <c r="E43" s="5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7"/>
      <c r="B44" s="57"/>
      <c r="C44" s="57"/>
      <c r="D44" s="57"/>
      <c r="E44" s="5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7"/>
      <c r="B45" s="57"/>
      <c r="C45" s="57"/>
      <c r="D45" s="57"/>
      <c r="E45" s="5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7"/>
      <c r="B46" s="57"/>
      <c r="C46" s="57"/>
      <c r="D46" s="57"/>
      <c r="E46" s="5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7"/>
      <c r="B47" s="57"/>
      <c r="C47" s="57"/>
      <c r="D47" s="57"/>
      <c r="E47" s="5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7"/>
      <c r="B48" s="57"/>
      <c r="C48" s="57"/>
      <c r="D48" s="57"/>
      <c r="E48" s="5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7"/>
      <c r="B49" s="57"/>
      <c r="C49" s="57"/>
      <c r="D49" s="57"/>
      <c r="E49" s="5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7"/>
      <c r="B50" s="57"/>
      <c r="C50" s="57"/>
      <c r="D50" s="57"/>
      <c r="E50" s="5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7"/>
      <c r="B51" s="57"/>
      <c r="C51" s="57"/>
      <c r="D51" s="57"/>
      <c r="E51" s="5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7"/>
      <c r="B52" s="57"/>
      <c r="C52" s="57"/>
      <c r="D52" s="57"/>
      <c r="E52" s="5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7"/>
      <c r="B53" s="57"/>
      <c r="C53" s="57"/>
      <c r="D53" s="57"/>
      <c r="E53" s="5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7"/>
      <c r="B54" s="57"/>
      <c r="C54" s="57"/>
      <c r="D54" s="57"/>
      <c r="E54" s="5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7"/>
      <c r="B55" s="57"/>
      <c r="C55" s="57"/>
      <c r="D55" s="57"/>
      <c r="E55" s="5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7"/>
      <c r="B56" s="57"/>
      <c r="C56" s="57"/>
      <c r="D56" s="57"/>
      <c r="E56" s="5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7"/>
      <c r="B57" s="57"/>
      <c r="C57" s="57"/>
      <c r="D57" s="57"/>
      <c r="E57" s="5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7"/>
      <c r="B58" s="57"/>
      <c r="C58" s="57"/>
      <c r="D58" s="57"/>
      <c r="E58" s="5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7"/>
      <c r="B59" s="57"/>
      <c r="C59" s="57"/>
      <c r="D59" s="57"/>
      <c r="E59" s="5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7"/>
      <c r="B60" s="57"/>
      <c r="C60" s="57"/>
      <c r="D60" s="57"/>
      <c r="E60" s="5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7"/>
      <c r="B61" s="57"/>
      <c r="C61" s="57"/>
      <c r="D61" s="57"/>
      <c r="E61" s="5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7"/>
      <c r="B62" s="57"/>
      <c r="C62" s="57"/>
      <c r="D62" s="57"/>
      <c r="E62" s="5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7"/>
      <c r="B63" s="57"/>
      <c r="C63" s="57"/>
      <c r="D63" s="57"/>
      <c r="E63" s="5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7"/>
      <c r="B64" s="57"/>
      <c r="C64" s="57"/>
      <c r="D64" s="57"/>
      <c r="E64" s="5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7"/>
      <c r="B65" s="57"/>
      <c r="C65" s="57"/>
      <c r="D65" s="57"/>
      <c r="E65" s="5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7"/>
      <c r="B66" s="57"/>
      <c r="C66" s="57"/>
      <c r="D66" s="57"/>
      <c r="E66" s="5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7"/>
      <c r="B67" s="57"/>
      <c r="C67" s="57"/>
      <c r="D67" s="57"/>
      <c r="E67" s="5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7"/>
      <c r="B68" s="57"/>
      <c r="C68" s="57"/>
      <c r="D68" s="57"/>
      <c r="E68" s="5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7"/>
      <c r="B69" s="57"/>
      <c r="C69" s="57"/>
      <c r="D69" s="57"/>
      <c r="E69" s="5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7"/>
      <c r="B70" s="57"/>
      <c r="C70" s="57"/>
      <c r="D70" s="57"/>
      <c r="E70" s="5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7"/>
      <c r="B71" s="57"/>
      <c r="C71" s="57"/>
      <c r="D71" s="57"/>
      <c r="E71" s="5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7"/>
      <c r="B72" s="57"/>
      <c r="C72" s="57"/>
      <c r="D72" s="57"/>
      <c r="E72" s="5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7"/>
      <c r="B73" s="57"/>
      <c r="C73" s="57"/>
      <c r="D73" s="57"/>
      <c r="E73" s="5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7"/>
      <c r="B74" s="57"/>
      <c r="C74" s="57"/>
      <c r="D74" s="57"/>
      <c r="E74" s="5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7"/>
      <c r="B75" s="57"/>
      <c r="C75" s="57"/>
      <c r="D75" s="57"/>
      <c r="E75" s="5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7"/>
      <c r="B76" s="57"/>
      <c r="C76" s="57"/>
      <c r="D76" s="57"/>
      <c r="E76" s="5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7"/>
      <c r="B77" s="57"/>
      <c r="C77" s="57"/>
      <c r="D77" s="57"/>
      <c r="E77" s="5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7"/>
      <c r="B78" s="57"/>
      <c r="C78" s="57"/>
      <c r="D78" s="57"/>
      <c r="E78" s="5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7"/>
      <c r="B79" s="57"/>
      <c r="C79" s="57"/>
      <c r="D79" s="57"/>
      <c r="E79" s="5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7"/>
      <c r="B80" s="57"/>
      <c r="C80" s="57"/>
      <c r="D80" s="57"/>
      <c r="E80" s="5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7"/>
      <c r="B81" s="57"/>
      <c r="C81" s="57"/>
      <c r="D81" s="57"/>
      <c r="E81" s="5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7"/>
      <c r="B82" s="57"/>
      <c r="C82" s="57"/>
      <c r="D82" s="57"/>
      <c r="E82" s="5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7"/>
      <c r="B83" s="57"/>
      <c r="C83" s="57"/>
      <c r="D83" s="57"/>
      <c r="E83" s="5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7"/>
      <c r="B84" s="57"/>
      <c r="C84" s="57"/>
      <c r="D84" s="57"/>
      <c r="E84" s="5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7"/>
      <c r="B85" s="57"/>
      <c r="C85" s="57"/>
      <c r="D85" s="57"/>
      <c r="E85" s="5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7"/>
      <c r="B86" s="57"/>
      <c r="C86" s="57"/>
      <c r="D86" s="57"/>
      <c r="E86" s="5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7"/>
      <c r="B87" s="57"/>
      <c r="C87" s="57"/>
      <c r="D87" s="57"/>
      <c r="E87" s="5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7"/>
      <c r="B88" s="57"/>
      <c r="C88" s="57"/>
      <c r="D88" s="57"/>
      <c r="E88" s="5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7"/>
      <c r="B89" s="57"/>
      <c r="C89" s="57"/>
      <c r="D89" s="57"/>
      <c r="E89" s="5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7"/>
      <c r="B90" s="57"/>
      <c r="C90" s="57"/>
      <c r="D90" s="57"/>
      <c r="E90" s="5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7"/>
      <c r="B91" s="57"/>
      <c r="C91" s="57"/>
      <c r="D91" s="57"/>
      <c r="E91" s="5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7"/>
      <c r="B92" s="57"/>
      <c r="C92" s="57"/>
      <c r="D92" s="57"/>
      <c r="E92" s="5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7"/>
      <c r="B93" s="57"/>
      <c r="C93" s="57"/>
      <c r="D93" s="57"/>
      <c r="E93" s="5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7"/>
      <c r="B94" s="57"/>
      <c r="C94" s="57"/>
      <c r="D94" s="57"/>
      <c r="E94" s="5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7"/>
      <c r="B95" s="57"/>
      <c r="C95" s="57"/>
      <c r="D95" s="57"/>
      <c r="E95" s="5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7"/>
      <c r="B96" s="57"/>
      <c r="C96" s="57"/>
      <c r="D96" s="57"/>
      <c r="E96" s="5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7"/>
      <c r="B97" s="57"/>
      <c r="C97" s="57"/>
      <c r="D97" s="57"/>
      <c r="E97" s="5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7"/>
      <c r="B98" s="57"/>
      <c r="C98" s="57"/>
      <c r="D98" s="57"/>
      <c r="E98" s="5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7"/>
      <c r="B99" s="57"/>
      <c r="C99" s="57"/>
      <c r="D99" s="57"/>
      <c r="E99" s="5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7"/>
      <c r="B100" s="57"/>
      <c r="C100" s="57"/>
      <c r="D100" s="57"/>
      <c r="E100" s="5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7"/>
      <c r="B101" s="57"/>
      <c r="C101" s="57"/>
      <c r="D101" s="57"/>
      <c r="E101" s="5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7"/>
      <c r="B102" s="57"/>
      <c r="C102" s="57"/>
      <c r="D102" s="57"/>
      <c r="E102" s="5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7"/>
      <c r="B103" s="57"/>
      <c r="C103" s="57"/>
      <c r="D103" s="57"/>
      <c r="E103" s="5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7"/>
      <c r="B104" s="57"/>
      <c r="C104" s="57"/>
      <c r="D104" s="57"/>
      <c r="E104" s="5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7"/>
      <c r="B105" s="57"/>
      <c r="C105" s="57"/>
      <c r="D105" s="57"/>
      <c r="E105" s="5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7"/>
      <c r="B106" s="57"/>
      <c r="C106" s="57"/>
      <c r="D106" s="57"/>
      <c r="E106" s="5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7"/>
      <c r="B107" s="57"/>
      <c r="C107" s="57"/>
      <c r="D107" s="57"/>
      <c r="E107" s="5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7"/>
      <c r="B108" s="57"/>
      <c r="C108" s="57"/>
      <c r="D108" s="57"/>
      <c r="E108" s="5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7"/>
      <c r="B109" s="57"/>
      <c r="C109" s="57"/>
      <c r="D109" s="57"/>
      <c r="E109" s="5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7"/>
      <c r="B110" s="57"/>
      <c r="C110" s="57"/>
      <c r="D110" s="57"/>
      <c r="E110" s="5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7"/>
      <c r="B111" s="57"/>
      <c r="C111" s="57"/>
      <c r="D111" s="57"/>
      <c r="E111" s="5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7"/>
      <c r="B112" s="57"/>
      <c r="C112" s="57"/>
      <c r="D112" s="57"/>
      <c r="E112" s="5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7"/>
      <c r="B113" s="57"/>
      <c r="C113" s="57"/>
      <c r="D113" s="57"/>
      <c r="E113" s="5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7"/>
      <c r="B114" s="57"/>
      <c r="C114" s="57"/>
      <c r="D114" s="57"/>
      <c r="E114" s="5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7"/>
      <c r="B115" s="57"/>
      <c r="C115" s="57"/>
      <c r="D115" s="57"/>
      <c r="E115" s="5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7"/>
      <c r="B116" s="57"/>
      <c r="C116" s="57"/>
      <c r="D116" s="57"/>
      <c r="E116" s="5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7"/>
      <c r="B117" s="57"/>
      <c r="C117" s="57"/>
      <c r="D117" s="57"/>
      <c r="E117" s="5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7"/>
      <c r="B118" s="57"/>
      <c r="C118" s="57"/>
      <c r="D118" s="57"/>
      <c r="E118" s="5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7"/>
      <c r="B119" s="57"/>
      <c r="C119" s="57"/>
      <c r="D119" s="57"/>
      <c r="E119" s="5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7"/>
      <c r="B120" s="57"/>
      <c r="C120" s="57"/>
      <c r="D120" s="57"/>
      <c r="E120" s="5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7"/>
      <c r="B121" s="57"/>
      <c r="C121" s="57"/>
      <c r="D121" s="57"/>
      <c r="E121" s="5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7"/>
      <c r="B122" s="57"/>
      <c r="C122" s="57"/>
      <c r="D122" s="57"/>
      <c r="E122" s="5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7"/>
      <c r="B123" s="57"/>
      <c r="C123" s="57"/>
      <c r="D123" s="57"/>
      <c r="E123" s="5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7"/>
      <c r="B124" s="57"/>
      <c r="C124" s="57"/>
      <c r="D124" s="57"/>
      <c r="E124" s="5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7"/>
      <c r="B125" s="57"/>
      <c r="C125" s="57"/>
      <c r="D125" s="57"/>
      <c r="E125" s="5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7"/>
      <c r="B126" s="57"/>
      <c r="C126" s="57"/>
      <c r="D126" s="57"/>
      <c r="E126" s="5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7"/>
      <c r="B127" s="57"/>
      <c r="C127" s="57"/>
      <c r="D127" s="57"/>
      <c r="E127" s="5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7"/>
      <c r="B128" s="57"/>
      <c r="C128" s="57"/>
      <c r="D128" s="57"/>
      <c r="E128" s="5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7"/>
      <c r="B129" s="57"/>
      <c r="C129" s="57"/>
      <c r="D129" s="57"/>
      <c r="E129" s="5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7"/>
      <c r="B130" s="57"/>
      <c r="C130" s="57"/>
      <c r="D130" s="57"/>
      <c r="E130" s="5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7"/>
      <c r="B131" s="57"/>
      <c r="C131" s="57"/>
      <c r="D131" s="57"/>
      <c r="E131" s="5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7"/>
      <c r="B132" s="57"/>
      <c r="C132" s="57"/>
      <c r="D132" s="57"/>
      <c r="E132" s="5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7"/>
      <c r="B133" s="57"/>
      <c r="C133" s="57"/>
      <c r="D133" s="57"/>
      <c r="E133" s="5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7"/>
      <c r="B134" s="57"/>
      <c r="C134" s="57"/>
      <c r="D134" s="57"/>
      <c r="E134" s="5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7"/>
      <c r="B135" s="57"/>
      <c r="C135" s="57"/>
      <c r="D135" s="57"/>
      <c r="E135" s="5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7"/>
      <c r="B136" s="57"/>
      <c r="C136" s="57"/>
      <c r="D136" s="57"/>
      <c r="E136" s="5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7"/>
      <c r="B137" s="57"/>
      <c r="C137" s="57"/>
      <c r="D137" s="57"/>
      <c r="E137" s="5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7"/>
      <c r="B138" s="57"/>
      <c r="C138" s="57"/>
      <c r="D138" s="57"/>
      <c r="E138" s="5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7"/>
      <c r="B139" s="57"/>
      <c r="C139" s="57"/>
      <c r="D139" s="57"/>
      <c r="E139" s="5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7"/>
      <c r="B140" s="57"/>
      <c r="C140" s="57"/>
      <c r="D140" s="57"/>
      <c r="E140" s="5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7"/>
      <c r="B141" s="57"/>
      <c r="C141" s="57"/>
      <c r="D141" s="57"/>
      <c r="E141" s="5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7"/>
      <c r="B142" s="57"/>
      <c r="C142" s="57"/>
      <c r="D142" s="57"/>
      <c r="E142" s="5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7"/>
      <c r="B143" s="57"/>
      <c r="C143" s="57"/>
      <c r="D143" s="57"/>
      <c r="E143" s="5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7"/>
      <c r="B144" s="57"/>
      <c r="C144" s="57"/>
      <c r="D144" s="57"/>
      <c r="E144" s="5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7"/>
      <c r="B145" s="57"/>
      <c r="C145" s="57"/>
      <c r="D145" s="57"/>
      <c r="E145" s="5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7"/>
      <c r="B146" s="57"/>
      <c r="C146" s="57"/>
      <c r="D146" s="57"/>
      <c r="E146" s="5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7"/>
      <c r="B147" s="57"/>
      <c r="C147" s="57"/>
      <c r="D147" s="57"/>
      <c r="E147" s="5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7"/>
      <c r="B148" s="57"/>
      <c r="C148" s="57"/>
      <c r="D148" s="57"/>
      <c r="E148" s="5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7"/>
      <c r="B149" s="57"/>
      <c r="C149" s="57"/>
      <c r="D149" s="57"/>
      <c r="E149" s="5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7"/>
      <c r="B150" s="57"/>
      <c r="C150" s="57"/>
      <c r="D150" s="57"/>
      <c r="E150" s="5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7"/>
      <c r="B151" s="57"/>
      <c r="C151" s="57"/>
      <c r="D151" s="57"/>
      <c r="E151" s="5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7"/>
      <c r="B152" s="57"/>
      <c r="C152" s="57"/>
      <c r="D152" s="57"/>
      <c r="E152" s="5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7"/>
      <c r="B153" s="57"/>
      <c r="C153" s="57"/>
      <c r="D153" s="57"/>
      <c r="E153" s="5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7"/>
      <c r="B154" s="57"/>
      <c r="C154" s="57"/>
      <c r="D154" s="57"/>
      <c r="E154" s="5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7"/>
      <c r="B155" s="57"/>
      <c r="C155" s="57"/>
      <c r="D155" s="57"/>
      <c r="E155" s="5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7"/>
      <c r="B156" s="57"/>
      <c r="C156" s="57"/>
      <c r="D156" s="57"/>
      <c r="E156" s="5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7"/>
      <c r="B157" s="57"/>
      <c r="C157" s="57"/>
      <c r="D157" s="57"/>
      <c r="E157" s="5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7"/>
      <c r="B158" s="57"/>
      <c r="C158" s="57"/>
      <c r="D158" s="57"/>
      <c r="E158" s="5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7"/>
      <c r="B159" s="57"/>
      <c r="C159" s="57"/>
      <c r="D159" s="57"/>
      <c r="E159" s="5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57"/>
      <c r="B160" s="57"/>
      <c r="C160" s="57"/>
      <c r="D160" s="57"/>
      <c r="E160" s="5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7"/>
      <c r="B161" s="57"/>
      <c r="C161" s="57"/>
      <c r="D161" s="57"/>
      <c r="E161" s="5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7"/>
      <c r="B162" s="57"/>
      <c r="C162" s="57"/>
      <c r="D162" s="57"/>
      <c r="E162" s="5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7"/>
      <c r="B163" s="57"/>
      <c r="C163" s="57"/>
      <c r="D163" s="57"/>
      <c r="E163" s="5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7"/>
      <c r="B164" s="57"/>
      <c r="C164" s="57"/>
      <c r="D164" s="57"/>
      <c r="E164" s="5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7"/>
      <c r="B165" s="57"/>
      <c r="C165" s="57"/>
      <c r="D165" s="57"/>
      <c r="E165" s="5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57"/>
      <c r="B166" s="57"/>
      <c r="C166" s="57"/>
      <c r="D166" s="57"/>
      <c r="E166" s="5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7"/>
      <c r="B167" s="57"/>
      <c r="C167" s="57"/>
      <c r="D167" s="57"/>
      <c r="E167" s="5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7"/>
      <c r="B168" s="57"/>
      <c r="C168" s="57"/>
      <c r="D168" s="57"/>
      <c r="E168" s="5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7"/>
      <c r="B169" s="57"/>
      <c r="C169" s="57"/>
      <c r="D169" s="57"/>
      <c r="E169" s="5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7"/>
      <c r="B170" s="57"/>
      <c r="C170" s="57"/>
      <c r="D170" s="57"/>
      <c r="E170" s="5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7"/>
      <c r="B171" s="57"/>
      <c r="C171" s="57"/>
      <c r="D171" s="57"/>
      <c r="E171" s="5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7"/>
      <c r="B172" s="57"/>
      <c r="C172" s="57"/>
      <c r="D172" s="57"/>
      <c r="E172" s="5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7"/>
      <c r="B173" s="57"/>
      <c r="C173" s="57"/>
      <c r="D173" s="57"/>
      <c r="E173" s="5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7"/>
      <c r="B174" s="57"/>
      <c r="C174" s="57"/>
      <c r="D174" s="57"/>
      <c r="E174" s="5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7"/>
      <c r="B175" s="57"/>
      <c r="C175" s="57"/>
      <c r="D175" s="57"/>
      <c r="E175" s="5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7"/>
      <c r="B176" s="57"/>
      <c r="C176" s="57"/>
      <c r="D176" s="57"/>
      <c r="E176" s="5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7"/>
      <c r="B177" s="57"/>
      <c r="C177" s="57"/>
      <c r="D177" s="57"/>
      <c r="E177" s="5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7"/>
      <c r="B178" s="57"/>
      <c r="C178" s="57"/>
      <c r="D178" s="57"/>
      <c r="E178" s="5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7"/>
      <c r="B179" s="57"/>
      <c r="C179" s="57"/>
      <c r="D179" s="57"/>
      <c r="E179" s="5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7"/>
      <c r="B180" s="57"/>
      <c r="C180" s="57"/>
      <c r="D180" s="57"/>
      <c r="E180" s="5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7"/>
      <c r="B181" s="57"/>
      <c r="C181" s="57"/>
      <c r="D181" s="57"/>
      <c r="E181" s="5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7"/>
      <c r="B182" s="57"/>
      <c r="C182" s="57"/>
      <c r="D182" s="57"/>
      <c r="E182" s="5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7"/>
      <c r="B183" s="57"/>
      <c r="C183" s="57"/>
      <c r="D183" s="57"/>
      <c r="E183" s="5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7"/>
      <c r="B184" s="57"/>
      <c r="C184" s="57"/>
      <c r="D184" s="57"/>
      <c r="E184" s="5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7"/>
      <c r="B185" s="57"/>
      <c r="C185" s="57"/>
      <c r="D185" s="57"/>
      <c r="E185" s="5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7"/>
      <c r="B186" s="57"/>
      <c r="C186" s="57"/>
      <c r="D186" s="57"/>
      <c r="E186" s="5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7"/>
      <c r="B187" s="57"/>
      <c r="C187" s="57"/>
      <c r="D187" s="57"/>
      <c r="E187" s="5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7"/>
      <c r="B188" s="57"/>
      <c r="C188" s="57"/>
      <c r="D188" s="57"/>
      <c r="E188" s="5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7"/>
      <c r="B189" s="57"/>
      <c r="C189" s="57"/>
      <c r="D189" s="57"/>
      <c r="E189" s="5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7"/>
      <c r="B190" s="57"/>
      <c r="C190" s="57"/>
      <c r="D190" s="57"/>
      <c r="E190" s="5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7"/>
      <c r="B191" s="57"/>
      <c r="C191" s="57"/>
      <c r="D191" s="57"/>
      <c r="E191" s="5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7"/>
      <c r="B192" s="57"/>
      <c r="C192" s="57"/>
      <c r="D192" s="57"/>
      <c r="E192" s="5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7"/>
      <c r="B193" s="57"/>
      <c r="C193" s="57"/>
      <c r="D193" s="57"/>
      <c r="E193" s="5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7"/>
      <c r="B194" s="57"/>
      <c r="C194" s="57"/>
      <c r="D194" s="57"/>
      <c r="E194" s="5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7"/>
      <c r="B195" s="57"/>
      <c r="C195" s="57"/>
      <c r="D195" s="57"/>
      <c r="E195" s="5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7"/>
      <c r="B196" s="57"/>
      <c r="C196" s="57"/>
      <c r="D196" s="57"/>
      <c r="E196" s="5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7"/>
      <c r="B197" s="57"/>
      <c r="C197" s="57"/>
      <c r="D197" s="57"/>
      <c r="E197" s="5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7"/>
      <c r="B198" s="57"/>
      <c r="C198" s="57"/>
      <c r="D198" s="57"/>
      <c r="E198" s="5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7"/>
      <c r="B199" s="57"/>
      <c r="C199" s="57"/>
      <c r="D199" s="57"/>
      <c r="E199" s="5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7"/>
      <c r="B200" s="57"/>
      <c r="C200" s="57"/>
      <c r="D200" s="57"/>
      <c r="E200" s="5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7"/>
      <c r="B201" s="57"/>
      <c r="C201" s="57"/>
      <c r="D201" s="57"/>
      <c r="E201" s="5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7"/>
      <c r="B202" s="57"/>
      <c r="C202" s="57"/>
      <c r="D202" s="57"/>
      <c r="E202" s="5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7"/>
      <c r="B203" s="57"/>
      <c r="C203" s="57"/>
      <c r="D203" s="57"/>
      <c r="E203" s="5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7"/>
      <c r="B204" s="57"/>
      <c r="C204" s="57"/>
      <c r="D204" s="57"/>
      <c r="E204" s="5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7"/>
      <c r="B205" s="57"/>
      <c r="C205" s="57"/>
      <c r="D205" s="57"/>
      <c r="E205" s="5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7"/>
      <c r="B206" s="57"/>
      <c r="C206" s="57"/>
      <c r="D206" s="57"/>
      <c r="E206" s="5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7"/>
      <c r="B207" s="57"/>
      <c r="C207" s="57"/>
      <c r="D207" s="57"/>
      <c r="E207" s="5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7"/>
      <c r="B208" s="57"/>
      <c r="C208" s="57"/>
      <c r="D208" s="57"/>
      <c r="E208" s="5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7"/>
      <c r="B209" s="57"/>
      <c r="C209" s="57"/>
      <c r="D209" s="57"/>
      <c r="E209" s="5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57"/>
      <c r="B210" s="57"/>
      <c r="C210" s="57"/>
      <c r="D210" s="57"/>
      <c r="E210" s="5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7"/>
      <c r="B211" s="57"/>
      <c r="C211" s="57"/>
      <c r="D211" s="57"/>
      <c r="E211" s="5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7"/>
      <c r="B212" s="57"/>
      <c r="C212" s="57"/>
      <c r="D212" s="57"/>
      <c r="E212" s="5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7"/>
      <c r="B213" s="57"/>
      <c r="C213" s="57"/>
      <c r="D213" s="57"/>
      <c r="E213" s="5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7"/>
      <c r="B214" s="57"/>
      <c r="C214" s="57"/>
      <c r="D214" s="57"/>
      <c r="E214" s="5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7"/>
      <c r="B215" s="57"/>
      <c r="C215" s="57"/>
      <c r="D215" s="57"/>
      <c r="E215" s="5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7"/>
      <c r="B216" s="57"/>
      <c r="C216" s="57"/>
      <c r="D216" s="57"/>
      <c r="E216" s="5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7"/>
      <c r="B217" s="57"/>
      <c r="C217" s="57"/>
      <c r="D217" s="57"/>
      <c r="E217" s="5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7"/>
      <c r="B218" s="57"/>
      <c r="C218" s="57"/>
      <c r="D218" s="57"/>
      <c r="E218" s="5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7"/>
      <c r="B219" s="57"/>
      <c r="C219" s="57"/>
      <c r="D219" s="57"/>
      <c r="E219" s="5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7"/>
      <c r="B220" s="57"/>
      <c r="C220" s="57"/>
      <c r="D220" s="57"/>
      <c r="E220" s="5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7"/>
      <c r="B221" s="57"/>
      <c r="C221" s="57"/>
      <c r="D221" s="57"/>
      <c r="E221" s="5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7"/>
      <c r="B222" s="57"/>
      <c r="C222" s="57"/>
      <c r="D222" s="57"/>
      <c r="E222" s="5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7"/>
      <c r="B223" s="57"/>
      <c r="C223" s="57"/>
      <c r="D223" s="57"/>
      <c r="E223" s="5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7"/>
      <c r="B224" s="57"/>
      <c r="C224" s="57"/>
      <c r="D224" s="57"/>
      <c r="E224" s="5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7"/>
      <c r="B225" s="57"/>
      <c r="C225" s="57"/>
      <c r="D225" s="57"/>
      <c r="E225" s="5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7"/>
      <c r="B226" s="57"/>
      <c r="C226" s="57"/>
      <c r="D226" s="57"/>
      <c r="E226" s="5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7"/>
      <c r="B227" s="57"/>
      <c r="C227" s="57"/>
      <c r="D227" s="57"/>
      <c r="E227" s="5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7"/>
      <c r="B228" s="57"/>
      <c r="C228" s="57"/>
      <c r="D228" s="57"/>
      <c r="E228" s="5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7"/>
      <c r="B229" s="57"/>
      <c r="C229" s="57"/>
      <c r="D229" s="57"/>
      <c r="E229" s="5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7"/>
      <c r="B230" s="57"/>
      <c r="C230" s="57"/>
      <c r="D230" s="57"/>
      <c r="E230" s="5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7"/>
      <c r="B231" s="57"/>
      <c r="C231" s="57"/>
      <c r="D231" s="57"/>
      <c r="E231" s="5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7"/>
      <c r="B232" s="57"/>
      <c r="C232" s="57"/>
      <c r="D232" s="57"/>
      <c r="E232" s="5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7"/>
      <c r="B233" s="57"/>
      <c r="C233" s="57"/>
      <c r="D233" s="57"/>
      <c r="E233" s="5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7"/>
      <c r="B234" s="57"/>
      <c r="C234" s="57"/>
      <c r="D234" s="57"/>
      <c r="E234" s="5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57"/>
      <c r="B235" s="57"/>
      <c r="C235" s="57"/>
      <c r="D235" s="57"/>
      <c r="E235" s="5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7"/>
      <c r="B236" s="57"/>
      <c r="C236" s="57"/>
      <c r="D236" s="57"/>
      <c r="E236" s="5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7"/>
      <c r="B237" s="57"/>
      <c r="C237" s="57"/>
      <c r="D237" s="57"/>
      <c r="E237" s="5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7"/>
      <c r="B238" s="57"/>
      <c r="C238" s="57"/>
      <c r="D238" s="57"/>
      <c r="E238" s="5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7"/>
      <c r="B239" s="57"/>
      <c r="C239" s="57"/>
      <c r="D239" s="57"/>
      <c r="E239" s="5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5:D15"/>
    <mergeCell ref="A17:E17"/>
    <mergeCell ref="A26:D26"/>
    <mergeCell ref="A28:E28"/>
    <mergeCell ref="A35:D35"/>
    <mergeCell ref="A37:D37"/>
    <mergeCell ref="A38:D38"/>
    <mergeCell ref="A39:D39"/>
    <mergeCell ref="A1:E1"/>
    <mergeCell ref="A2:B2"/>
    <mergeCell ref="C2:E2"/>
    <mergeCell ref="A3:B3"/>
    <mergeCell ref="C3:E3"/>
    <mergeCell ref="A4:E4"/>
    <mergeCell ref="A6:E6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14"/>
    <col customWidth="1" min="3" max="3" width="34.43"/>
    <col customWidth="1" min="4" max="4" width="31.57"/>
    <col customWidth="1" min="5" max="5" width="28.14"/>
    <col customWidth="1" min="6" max="6" width="33.57"/>
    <col customWidth="1" min="7" max="7" width="38.86"/>
    <col customWidth="1" min="8" max="8" width="37.57"/>
    <col customWidth="1" min="9" max="9" width="35.14"/>
    <col customWidth="1" min="10" max="10" width="59.14"/>
    <col customWidth="1" min="11" max="11" width="34.29"/>
  </cols>
  <sheetData>
    <row r="1" ht="30.0" customHeight="1">
      <c r="A1" s="2" t="s">
        <v>0</v>
      </c>
      <c r="B1" s="2" t="s">
        <v>3</v>
      </c>
      <c r="C1" s="2" t="s">
        <v>5</v>
      </c>
      <c r="D1" s="5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7.0" customHeight="1">
      <c r="A2" s="11"/>
      <c r="B2" s="11"/>
      <c r="C2" s="11"/>
      <c r="D2" s="14"/>
      <c r="E2" s="11"/>
      <c r="F2" s="15"/>
      <c r="G2" s="11"/>
      <c r="H2" s="11"/>
      <c r="I2" s="11"/>
      <c r="J2" s="11"/>
      <c r="K2" s="11"/>
      <c r="L2" s="15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7.0" customHeight="1">
      <c r="A3" s="11"/>
      <c r="B3" s="11"/>
      <c r="C3" s="11"/>
      <c r="D3" s="2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7.0" customHeight="1">
      <c r="A4" s="11"/>
      <c r="B4" s="11"/>
      <c r="C4" s="11"/>
      <c r="D4" s="2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7.0" customHeight="1">
      <c r="A5" s="11"/>
      <c r="B5" s="11"/>
      <c r="C5" s="11"/>
      <c r="D5" s="2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7.0" customHeight="1">
      <c r="A6" s="11"/>
      <c r="B6" s="11"/>
      <c r="C6" s="11"/>
      <c r="D6" s="2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7.0" customHeight="1">
      <c r="A7" s="11"/>
      <c r="B7" s="11"/>
      <c r="C7" s="11"/>
      <c r="D7" s="2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7.0" customHeight="1">
      <c r="A8" s="11"/>
      <c r="B8" s="11"/>
      <c r="C8" s="11"/>
      <c r="D8" s="2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27.0" customHeight="1">
      <c r="A9" s="11"/>
      <c r="B9" s="11"/>
      <c r="C9" s="11"/>
      <c r="D9" s="2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7.0" customHeight="1">
      <c r="A10" s="11"/>
      <c r="B10" s="11"/>
      <c r="C10" s="11"/>
      <c r="D10" s="2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7.0" customHeight="1">
      <c r="A11" s="11"/>
      <c r="B11" s="11"/>
      <c r="C11" s="11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7.0" customHeight="1">
      <c r="A12" s="11"/>
      <c r="B12" s="11"/>
      <c r="C12" s="11"/>
      <c r="D12" s="2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7.0" customHeight="1">
      <c r="A13" s="11"/>
      <c r="B13" s="11"/>
      <c r="C13" s="11"/>
      <c r="D13" s="2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7.0" customHeight="1">
      <c r="A14" s="11"/>
      <c r="B14" s="11"/>
      <c r="C14" s="11"/>
      <c r="D14" s="2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7.0" customHeight="1">
      <c r="A15" s="11"/>
      <c r="B15" s="11"/>
      <c r="C15" s="11"/>
      <c r="D15" s="2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7.0" customHeight="1">
      <c r="A16" s="11"/>
      <c r="B16" s="11"/>
      <c r="C16" s="11"/>
      <c r="D16" s="2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7.0" customHeight="1">
      <c r="A17" s="11"/>
      <c r="B17" s="11"/>
      <c r="C17" s="11"/>
      <c r="D17" s="2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7.0" customHeight="1">
      <c r="A18" s="11"/>
      <c r="B18" s="11"/>
      <c r="C18" s="11"/>
      <c r="D18" s="2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7.0" customHeight="1">
      <c r="A19" s="11"/>
      <c r="B19" s="11"/>
      <c r="C19" s="11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7.0" customHeight="1">
      <c r="A20" s="11"/>
      <c r="B20" s="11"/>
      <c r="C20" s="11"/>
      <c r="D20" s="2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7.0" customHeight="1">
      <c r="A21" s="11"/>
      <c r="B21" s="11"/>
      <c r="C21" s="11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7.0" customHeight="1">
      <c r="A22" s="11"/>
      <c r="B22" s="11"/>
      <c r="C22" s="11"/>
      <c r="D22" s="2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7.0" customHeight="1">
      <c r="A23" s="11"/>
      <c r="B23" s="11"/>
      <c r="C23" s="11"/>
      <c r="D23" s="2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7.0" customHeight="1">
      <c r="A24" s="11"/>
      <c r="B24" s="11"/>
      <c r="C24" s="11"/>
      <c r="D24" s="2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7.0" customHeight="1">
      <c r="A25" s="11"/>
      <c r="B25" s="11"/>
      <c r="C25" s="11"/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7.0" customHeight="1">
      <c r="A26" s="11"/>
      <c r="B26" s="11"/>
      <c r="C26" s="11"/>
      <c r="D26" s="2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7.0" customHeight="1">
      <c r="A27" s="11"/>
      <c r="B27" s="11"/>
      <c r="C27" s="11"/>
      <c r="D27" s="2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7.0" customHeight="1">
      <c r="A28" s="11"/>
      <c r="B28" s="11"/>
      <c r="C28" s="11"/>
      <c r="D28" s="2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57"/>
      <c r="B29" s="57"/>
      <c r="C29" s="57"/>
      <c r="D29" s="58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A30" s="57"/>
      <c r="B30" s="57"/>
      <c r="C30" s="57"/>
      <c r="D30" s="58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A31" s="57"/>
      <c r="B31" s="57"/>
      <c r="C31" s="57"/>
      <c r="D31" s="58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A32" s="57"/>
      <c r="B32" s="57"/>
      <c r="C32" s="57"/>
      <c r="D32" s="58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A33" s="57"/>
      <c r="B33" s="57"/>
      <c r="C33" s="57"/>
      <c r="D33" s="58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A34" s="57"/>
      <c r="B34" s="57"/>
      <c r="C34" s="57"/>
      <c r="D34" s="58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ht="15.75" customHeight="1">
      <c r="A35" s="57"/>
      <c r="B35" s="57"/>
      <c r="C35" s="57"/>
      <c r="D35" s="58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 ht="15.75" customHeight="1">
      <c r="A36" s="57"/>
      <c r="B36" s="57"/>
      <c r="C36" s="57"/>
      <c r="D36" s="58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ht="15.75" customHeight="1">
      <c r="A37" s="57"/>
      <c r="B37" s="57"/>
      <c r="C37" s="57"/>
      <c r="D37" s="58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 ht="15.75" customHeight="1">
      <c r="A38" s="57"/>
      <c r="B38" s="57"/>
      <c r="C38" s="57"/>
      <c r="D38" s="58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 ht="15.75" customHeight="1">
      <c r="A39" s="57"/>
      <c r="B39" s="57"/>
      <c r="C39" s="57"/>
      <c r="D39" s="58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 ht="15.75" customHeight="1">
      <c r="A40" s="57"/>
      <c r="B40" s="57"/>
      <c r="C40" s="57"/>
      <c r="D40" s="58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ht="15.75" customHeight="1">
      <c r="A41" s="57"/>
      <c r="B41" s="57"/>
      <c r="C41" s="57"/>
      <c r="D41" s="58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 ht="15.75" customHeight="1">
      <c r="A42" s="57"/>
      <c r="B42" s="57"/>
      <c r="C42" s="57"/>
      <c r="D42" s="58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 ht="15.75" customHeight="1">
      <c r="A43" s="57"/>
      <c r="B43" s="57"/>
      <c r="C43" s="57"/>
      <c r="D43" s="58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 ht="15.75" customHeight="1">
      <c r="A44" s="57"/>
      <c r="B44" s="57"/>
      <c r="C44" s="57"/>
      <c r="D44" s="58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ht="15.75" customHeight="1">
      <c r="A45" s="57"/>
      <c r="B45" s="57"/>
      <c r="C45" s="57"/>
      <c r="D45" s="58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ht="15.75" customHeight="1">
      <c r="A46" s="57"/>
      <c r="B46" s="57"/>
      <c r="C46" s="57"/>
      <c r="D46" s="58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 ht="15.75" customHeight="1">
      <c r="A47" s="57"/>
      <c r="B47" s="57"/>
      <c r="C47" s="57"/>
      <c r="D47" s="58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 ht="15.75" customHeight="1">
      <c r="A48" s="57"/>
      <c r="B48" s="57"/>
      <c r="C48" s="57"/>
      <c r="D48" s="58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 ht="15.75" customHeight="1">
      <c r="A49" s="57"/>
      <c r="B49" s="57"/>
      <c r="C49" s="57"/>
      <c r="D49" s="58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ht="15.75" customHeight="1">
      <c r="A50" s="57"/>
      <c r="B50" s="57"/>
      <c r="C50" s="57"/>
      <c r="D50" s="58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ht="15.75" customHeight="1">
      <c r="A51" s="57"/>
      <c r="B51" s="57"/>
      <c r="C51" s="57"/>
      <c r="D51" s="58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ht="15.75" customHeight="1">
      <c r="A52" s="57"/>
      <c r="B52" s="57"/>
      <c r="C52" s="57"/>
      <c r="D52" s="58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ht="15.75" customHeight="1">
      <c r="A53" s="57"/>
      <c r="B53" s="57"/>
      <c r="C53" s="57"/>
      <c r="D53" s="58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ht="15.75" customHeight="1">
      <c r="A54" s="57"/>
      <c r="B54" s="57"/>
      <c r="C54" s="57"/>
      <c r="D54" s="5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ht="15.75" customHeight="1">
      <c r="A55" s="57"/>
      <c r="B55" s="57"/>
      <c r="C55" s="57"/>
      <c r="D55" s="58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ht="15.75" customHeight="1">
      <c r="A56" s="57"/>
      <c r="B56" s="57"/>
      <c r="C56" s="57"/>
      <c r="D56" s="5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ht="15.75" customHeight="1">
      <c r="A57" s="57"/>
      <c r="B57" s="57"/>
      <c r="C57" s="57"/>
      <c r="D57" s="5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 ht="15.75" customHeight="1">
      <c r="A58" s="57"/>
      <c r="B58" s="57"/>
      <c r="C58" s="57"/>
      <c r="D58" s="58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 ht="15.75" customHeight="1">
      <c r="A59" s="57"/>
      <c r="B59" s="57"/>
      <c r="C59" s="57"/>
      <c r="D59" s="58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 ht="15.75" customHeight="1">
      <c r="A60" s="57"/>
      <c r="B60" s="57"/>
      <c r="C60" s="57"/>
      <c r="D60" s="58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 ht="15.75" customHeight="1">
      <c r="A61" s="57"/>
      <c r="B61" s="57"/>
      <c r="C61" s="57"/>
      <c r="D61" s="58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 ht="15.75" customHeight="1">
      <c r="A62" s="57"/>
      <c r="B62" s="57"/>
      <c r="C62" s="57"/>
      <c r="D62" s="58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ht="15.75" customHeight="1">
      <c r="A63" s="57"/>
      <c r="B63" s="57"/>
      <c r="C63" s="57"/>
      <c r="D63" s="5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 ht="15.75" customHeight="1">
      <c r="A64" s="57"/>
      <c r="B64" s="57"/>
      <c r="C64" s="57"/>
      <c r="D64" s="5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 ht="15.75" customHeight="1">
      <c r="A65" s="57"/>
      <c r="B65" s="57"/>
      <c r="C65" s="57"/>
      <c r="D65" s="58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 ht="15.75" customHeight="1">
      <c r="A66" s="57"/>
      <c r="B66" s="57"/>
      <c r="C66" s="57"/>
      <c r="D66" s="58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 ht="15.75" customHeight="1">
      <c r="A67" s="57"/>
      <c r="B67" s="57"/>
      <c r="C67" s="57"/>
      <c r="D67" s="58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 ht="15.75" customHeight="1">
      <c r="A68" s="57"/>
      <c r="B68" s="57"/>
      <c r="C68" s="57"/>
      <c r="D68" s="5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 ht="15.75" customHeight="1">
      <c r="A69" s="57"/>
      <c r="B69" s="57"/>
      <c r="C69" s="57"/>
      <c r="D69" s="5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 ht="15.75" customHeight="1">
      <c r="A70" s="57"/>
      <c r="B70" s="57"/>
      <c r="C70" s="57"/>
      <c r="D70" s="58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ht="15.75" customHeight="1">
      <c r="A71" s="57"/>
      <c r="B71" s="57"/>
      <c r="C71" s="57"/>
      <c r="D71" s="58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 ht="15.75" customHeight="1">
      <c r="A72" s="57"/>
      <c r="B72" s="57"/>
      <c r="C72" s="57"/>
      <c r="D72" s="58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ht="15.75" customHeight="1">
      <c r="A73" s="57"/>
      <c r="B73" s="57"/>
      <c r="C73" s="57"/>
      <c r="D73" s="58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ht="15.75" customHeight="1">
      <c r="A74" s="57"/>
      <c r="B74" s="57"/>
      <c r="C74" s="57"/>
      <c r="D74" s="58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ht="15.75" customHeight="1">
      <c r="A75" s="57"/>
      <c r="B75" s="57"/>
      <c r="C75" s="57"/>
      <c r="D75" s="58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ht="15.75" customHeight="1">
      <c r="A76" s="57"/>
      <c r="B76" s="57"/>
      <c r="C76" s="57"/>
      <c r="D76" s="58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ht="15.75" customHeight="1">
      <c r="A77" s="57"/>
      <c r="B77" s="57"/>
      <c r="C77" s="57"/>
      <c r="D77" s="58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ht="15.75" customHeight="1">
      <c r="A78" s="57"/>
      <c r="B78" s="57"/>
      <c r="C78" s="57"/>
      <c r="D78" s="58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 ht="15.75" customHeight="1">
      <c r="A79" s="57"/>
      <c r="B79" s="57"/>
      <c r="C79" s="57"/>
      <c r="D79" s="58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ht="15.75" customHeight="1">
      <c r="A80" s="57"/>
      <c r="B80" s="57"/>
      <c r="C80" s="57"/>
      <c r="D80" s="58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 ht="15.75" customHeight="1">
      <c r="A81" s="57"/>
      <c r="B81" s="57"/>
      <c r="C81" s="57"/>
      <c r="D81" s="58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ht="15.75" customHeight="1">
      <c r="A82" s="57"/>
      <c r="B82" s="57"/>
      <c r="C82" s="57"/>
      <c r="D82" s="58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ht="15.75" customHeight="1">
      <c r="A83" s="57"/>
      <c r="B83" s="57"/>
      <c r="C83" s="57"/>
      <c r="D83" s="58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 ht="15.75" customHeight="1">
      <c r="A84" s="57"/>
      <c r="B84" s="57"/>
      <c r="C84" s="57"/>
      <c r="D84" s="58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ht="15.75" customHeight="1">
      <c r="A85" s="57"/>
      <c r="B85" s="57"/>
      <c r="C85" s="57"/>
      <c r="D85" s="58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ht="15.75" customHeight="1">
      <c r="A86" s="57"/>
      <c r="B86" s="57"/>
      <c r="C86" s="57"/>
      <c r="D86" s="58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ht="15.75" customHeight="1">
      <c r="A87" s="57"/>
      <c r="B87" s="57"/>
      <c r="C87" s="57"/>
      <c r="D87" s="58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ht="15.75" customHeight="1">
      <c r="A88" s="57"/>
      <c r="B88" s="57"/>
      <c r="C88" s="57"/>
      <c r="D88" s="58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ht="15.75" customHeight="1">
      <c r="A89" s="57"/>
      <c r="B89" s="57"/>
      <c r="C89" s="57"/>
      <c r="D89" s="58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ht="15.75" customHeight="1">
      <c r="A90" s="57"/>
      <c r="B90" s="57"/>
      <c r="C90" s="57"/>
      <c r="D90" s="58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ht="15.75" customHeight="1">
      <c r="A91" s="57"/>
      <c r="B91" s="57"/>
      <c r="C91" s="57"/>
      <c r="D91" s="58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ht="15.75" customHeight="1">
      <c r="A92" s="57"/>
      <c r="B92" s="57"/>
      <c r="C92" s="57"/>
      <c r="D92" s="58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ht="15.75" customHeight="1">
      <c r="A93" s="57"/>
      <c r="B93" s="57"/>
      <c r="C93" s="57"/>
      <c r="D93" s="58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ht="15.75" customHeight="1">
      <c r="A94" s="57"/>
      <c r="B94" s="57"/>
      <c r="C94" s="57"/>
      <c r="D94" s="58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ht="15.75" customHeight="1">
      <c r="A95" s="57"/>
      <c r="B95" s="57"/>
      <c r="C95" s="57"/>
      <c r="D95" s="58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ht="15.75" customHeight="1">
      <c r="A96" s="57"/>
      <c r="B96" s="57"/>
      <c r="C96" s="57"/>
      <c r="D96" s="58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ht="15.75" customHeight="1">
      <c r="A97" s="57"/>
      <c r="B97" s="57"/>
      <c r="C97" s="57"/>
      <c r="D97" s="58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 ht="15.75" customHeight="1">
      <c r="A98" s="57"/>
      <c r="B98" s="57"/>
      <c r="C98" s="57"/>
      <c r="D98" s="58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 ht="15.75" customHeight="1">
      <c r="A99" s="57"/>
      <c r="B99" s="57"/>
      <c r="C99" s="57"/>
      <c r="D99" s="58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 ht="15.75" customHeight="1">
      <c r="A100" s="57"/>
      <c r="B100" s="57"/>
      <c r="C100" s="57"/>
      <c r="D100" s="58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 ht="15.75" customHeight="1">
      <c r="A101" s="57"/>
      <c r="B101" s="57"/>
      <c r="C101" s="57"/>
      <c r="D101" s="58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 ht="15.75" customHeight="1">
      <c r="A102" s="57"/>
      <c r="B102" s="57"/>
      <c r="C102" s="57"/>
      <c r="D102" s="58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 ht="15.75" customHeight="1">
      <c r="A103" s="57"/>
      <c r="B103" s="57"/>
      <c r="C103" s="57"/>
      <c r="D103" s="58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 ht="15.75" customHeight="1">
      <c r="A104" s="57"/>
      <c r="B104" s="57"/>
      <c r="C104" s="57"/>
      <c r="D104" s="58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 ht="15.75" customHeight="1">
      <c r="A105" s="57"/>
      <c r="B105" s="57"/>
      <c r="C105" s="57"/>
      <c r="D105" s="58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ht="15.75" customHeight="1">
      <c r="A106" s="57"/>
      <c r="B106" s="57"/>
      <c r="C106" s="57"/>
      <c r="D106" s="58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ht="15.75" customHeight="1">
      <c r="A107" s="57"/>
      <c r="B107" s="57"/>
      <c r="C107" s="57"/>
      <c r="D107" s="58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 ht="15.75" customHeight="1">
      <c r="A108" s="57"/>
      <c r="B108" s="57"/>
      <c r="C108" s="57"/>
      <c r="D108" s="58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 ht="15.75" customHeight="1">
      <c r="A109" s="57"/>
      <c r="B109" s="57"/>
      <c r="C109" s="57"/>
      <c r="D109" s="58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 ht="15.75" customHeight="1">
      <c r="A110" s="57"/>
      <c r="B110" s="57"/>
      <c r="C110" s="57"/>
      <c r="D110" s="58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 ht="15.75" customHeight="1">
      <c r="A111" s="57"/>
      <c r="B111" s="57"/>
      <c r="C111" s="57"/>
      <c r="D111" s="58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 ht="15.75" customHeight="1">
      <c r="A112" s="57"/>
      <c r="B112" s="57"/>
      <c r="C112" s="57"/>
      <c r="D112" s="58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 ht="15.75" customHeight="1">
      <c r="A113" s="57"/>
      <c r="B113" s="57"/>
      <c r="C113" s="57"/>
      <c r="D113" s="58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 ht="15.75" customHeight="1">
      <c r="A114" s="57"/>
      <c r="B114" s="57"/>
      <c r="C114" s="57"/>
      <c r="D114" s="58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 ht="15.75" customHeight="1">
      <c r="A115" s="57"/>
      <c r="B115" s="57"/>
      <c r="C115" s="57"/>
      <c r="D115" s="58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 ht="15.75" customHeight="1">
      <c r="A116" s="57"/>
      <c r="B116" s="57"/>
      <c r="C116" s="57"/>
      <c r="D116" s="58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 ht="15.75" customHeight="1">
      <c r="A117" s="57"/>
      <c r="B117" s="57"/>
      <c r="C117" s="57"/>
      <c r="D117" s="58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 ht="15.75" customHeight="1">
      <c r="A118" s="57"/>
      <c r="B118" s="57"/>
      <c r="C118" s="57"/>
      <c r="D118" s="58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ht="15.75" customHeight="1">
      <c r="A119" s="57"/>
      <c r="B119" s="57"/>
      <c r="C119" s="57"/>
      <c r="D119" s="58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 ht="15.75" customHeight="1">
      <c r="A120" s="57"/>
      <c r="B120" s="57"/>
      <c r="C120" s="57"/>
      <c r="D120" s="58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 ht="15.75" customHeight="1">
      <c r="A121" s="57"/>
      <c r="B121" s="57"/>
      <c r="C121" s="57"/>
      <c r="D121" s="58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 ht="15.75" customHeight="1">
      <c r="A122" s="57"/>
      <c r="B122" s="57"/>
      <c r="C122" s="57"/>
      <c r="D122" s="58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ht="15.75" customHeight="1">
      <c r="A123" s="57"/>
      <c r="B123" s="57"/>
      <c r="C123" s="57"/>
      <c r="D123" s="58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ht="15.75" customHeight="1">
      <c r="A124" s="57"/>
      <c r="B124" s="57"/>
      <c r="C124" s="57"/>
      <c r="D124" s="58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ht="15.75" customHeight="1">
      <c r="A125" s="57"/>
      <c r="B125" s="57"/>
      <c r="C125" s="57"/>
      <c r="D125" s="58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ht="15.75" customHeight="1">
      <c r="A126" s="57"/>
      <c r="B126" s="57"/>
      <c r="C126" s="57"/>
      <c r="D126" s="58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ht="15.75" customHeight="1">
      <c r="A127" s="57"/>
      <c r="B127" s="57"/>
      <c r="C127" s="57"/>
      <c r="D127" s="58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ht="15.75" customHeight="1">
      <c r="A128" s="57"/>
      <c r="B128" s="57"/>
      <c r="C128" s="57"/>
      <c r="D128" s="58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ht="15.75" customHeight="1">
      <c r="A129" s="57"/>
      <c r="B129" s="57"/>
      <c r="C129" s="57"/>
      <c r="D129" s="58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ht="15.75" customHeight="1">
      <c r="A130" s="57"/>
      <c r="B130" s="57"/>
      <c r="C130" s="57"/>
      <c r="D130" s="58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ht="15.75" customHeight="1">
      <c r="A131" s="57"/>
      <c r="B131" s="57"/>
      <c r="C131" s="57"/>
      <c r="D131" s="58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ht="15.75" customHeight="1">
      <c r="A132" s="57"/>
      <c r="B132" s="57"/>
      <c r="C132" s="57"/>
      <c r="D132" s="58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ht="15.75" customHeight="1">
      <c r="A133" s="57"/>
      <c r="B133" s="57"/>
      <c r="C133" s="57"/>
      <c r="D133" s="58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ht="15.75" customHeight="1">
      <c r="A134" s="57"/>
      <c r="B134" s="57"/>
      <c r="C134" s="57"/>
      <c r="D134" s="58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ht="15.75" customHeight="1">
      <c r="A135" s="57"/>
      <c r="B135" s="57"/>
      <c r="C135" s="57"/>
      <c r="D135" s="58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ht="15.75" customHeight="1">
      <c r="A136" s="57"/>
      <c r="B136" s="57"/>
      <c r="C136" s="57"/>
      <c r="D136" s="58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ht="15.75" customHeight="1">
      <c r="A137" s="57"/>
      <c r="B137" s="57"/>
      <c r="C137" s="57"/>
      <c r="D137" s="58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ht="15.75" customHeight="1">
      <c r="A138" s="57"/>
      <c r="B138" s="57"/>
      <c r="C138" s="57"/>
      <c r="D138" s="58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ht="15.75" customHeight="1">
      <c r="A139" s="57"/>
      <c r="B139" s="57"/>
      <c r="C139" s="57"/>
      <c r="D139" s="58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ht="15.75" customHeight="1">
      <c r="A140" s="57"/>
      <c r="B140" s="57"/>
      <c r="C140" s="57"/>
      <c r="D140" s="58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ht="15.75" customHeight="1">
      <c r="A141" s="57"/>
      <c r="B141" s="57"/>
      <c r="C141" s="57"/>
      <c r="D141" s="58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ht="15.75" customHeight="1">
      <c r="A142" s="57"/>
      <c r="B142" s="57"/>
      <c r="C142" s="57"/>
      <c r="D142" s="58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ht="15.75" customHeight="1">
      <c r="A143" s="57"/>
      <c r="B143" s="57"/>
      <c r="C143" s="57"/>
      <c r="D143" s="58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ht="15.75" customHeight="1">
      <c r="A144" s="57"/>
      <c r="B144" s="57"/>
      <c r="C144" s="57"/>
      <c r="D144" s="58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ht="15.75" customHeight="1">
      <c r="A145" s="57"/>
      <c r="B145" s="57"/>
      <c r="C145" s="57"/>
      <c r="D145" s="58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ht="15.75" customHeight="1">
      <c r="A146" s="57"/>
      <c r="B146" s="57"/>
      <c r="C146" s="57"/>
      <c r="D146" s="58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ht="15.75" customHeight="1">
      <c r="A147" s="57"/>
      <c r="B147" s="57"/>
      <c r="C147" s="57"/>
      <c r="D147" s="58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ht="15.75" customHeight="1">
      <c r="A148" s="57"/>
      <c r="B148" s="57"/>
      <c r="C148" s="57"/>
      <c r="D148" s="58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ht="15.75" customHeight="1">
      <c r="A149" s="57"/>
      <c r="B149" s="57"/>
      <c r="C149" s="57"/>
      <c r="D149" s="58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ht="15.75" customHeight="1">
      <c r="A150" s="57"/>
      <c r="B150" s="57"/>
      <c r="C150" s="57"/>
      <c r="D150" s="58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ht="15.75" customHeight="1">
      <c r="A151" s="57"/>
      <c r="B151" s="57"/>
      <c r="C151" s="57"/>
      <c r="D151" s="58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ht="15.75" customHeight="1">
      <c r="A152" s="57"/>
      <c r="B152" s="57"/>
      <c r="C152" s="57"/>
      <c r="D152" s="58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ht="15.75" customHeight="1">
      <c r="A153" s="57"/>
      <c r="B153" s="57"/>
      <c r="C153" s="57"/>
      <c r="D153" s="58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ht="15.75" customHeight="1">
      <c r="A154" s="57"/>
      <c r="B154" s="57"/>
      <c r="C154" s="57"/>
      <c r="D154" s="58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ht="15.75" customHeight="1">
      <c r="A155" s="57"/>
      <c r="B155" s="57"/>
      <c r="C155" s="57"/>
      <c r="D155" s="58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ht="15.75" customHeight="1">
      <c r="A156" s="57"/>
      <c r="B156" s="57"/>
      <c r="C156" s="57"/>
      <c r="D156" s="58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ht="15.75" customHeight="1">
      <c r="A157" s="57"/>
      <c r="B157" s="57"/>
      <c r="C157" s="57"/>
      <c r="D157" s="58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ht="15.75" customHeight="1">
      <c r="A158" s="57"/>
      <c r="B158" s="57"/>
      <c r="C158" s="57"/>
      <c r="D158" s="58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ht="15.75" customHeight="1">
      <c r="A159" s="57"/>
      <c r="B159" s="57"/>
      <c r="C159" s="57"/>
      <c r="D159" s="58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ht="15.75" customHeight="1">
      <c r="A160" s="57"/>
      <c r="B160" s="57"/>
      <c r="C160" s="57"/>
      <c r="D160" s="58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ht="15.75" customHeight="1">
      <c r="A161" s="57"/>
      <c r="B161" s="57"/>
      <c r="C161" s="57"/>
      <c r="D161" s="58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ht="15.75" customHeight="1">
      <c r="A162" s="57"/>
      <c r="B162" s="57"/>
      <c r="C162" s="57"/>
      <c r="D162" s="58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ht="15.75" customHeight="1">
      <c r="A163" s="57"/>
      <c r="B163" s="57"/>
      <c r="C163" s="57"/>
      <c r="D163" s="58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ht="15.75" customHeight="1">
      <c r="A164" s="57"/>
      <c r="B164" s="57"/>
      <c r="C164" s="57"/>
      <c r="D164" s="58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ht="15.75" customHeight="1">
      <c r="A165" s="57"/>
      <c r="B165" s="57"/>
      <c r="C165" s="57"/>
      <c r="D165" s="58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ht="15.75" customHeight="1">
      <c r="A166" s="57"/>
      <c r="B166" s="57"/>
      <c r="C166" s="57"/>
      <c r="D166" s="58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ht="15.75" customHeight="1">
      <c r="A167" s="57"/>
      <c r="B167" s="57"/>
      <c r="C167" s="57"/>
      <c r="D167" s="58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ht="15.75" customHeight="1">
      <c r="A168" s="57"/>
      <c r="B168" s="57"/>
      <c r="C168" s="57"/>
      <c r="D168" s="58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ht="15.75" customHeight="1">
      <c r="A169" s="57"/>
      <c r="B169" s="57"/>
      <c r="C169" s="57"/>
      <c r="D169" s="58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ht="15.75" customHeight="1">
      <c r="A170" s="57"/>
      <c r="B170" s="57"/>
      <c r="C170" s="57"/>
      <c r="D170" s="58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ht="15.75" customHeight="1">
      <c r="A171" s="57"/>
      <c r="B171" s="57"/>
      <c r="C171" s="57"/>
      <c r="D171" s="58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ht="15.75" customHeight="1">
      <c r="A172" s="57"/>
      <c r="B172" s="57"/>
      <c r="C172" s="57"/>
      <c r="D172" s="58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ht="15.75" customHeight="1">
      <c r="A173" s="57"/>
      <c r="B173" s="57"/>
      <c r="C173" s="57"/>
      <c r="D173" s="58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ht="15.75" customHeight="1">
      <c r="A174" s="57"/>
      <c r="B174" s="57"/>
      <c r="C174" s="57"/>
      <c r="D174" s="58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ht="15.75" customHeight="1">
      <c r="A175" s="57"/>
      <c r="B175" s="57"/>
      <c r="C175" s="57"/>
      <c r="D175" s="58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ht="15.75" customHeight="1">
      <c r="A176" s="57"/>
      <c r="B176" s="57"/>
      <c r="C176" s="57"/>
      <c r="D176" s="58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ht="15.75" customHeight="1">
      <c r="A177" s="57"/>
      <c r="B177" s="57"/>
      <c r="C177" s="57"/>
      <c r="D177" s="58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ht="15.75" customHeight="1">
      <c r="A178" s="57"/>
      <c r="B178" s="57"/>
      <c r="C178" s="57"/>
      <c r="D178" s="58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ht="15.75" customHeight="1">
      <c r="A179" s="57"/>
      <c r="B179" s="57"/>
      <c r="C179" s="57"/>
      <c r="D179" s="58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ht="15.75" customHeight="1">
      <c r="A180" s="57"/>
      <c r="B180" s="57"/>
      <c r="C180" s="57"/>
      <c r="D180" s="58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ht="15.75" customHeight="1">
      <c r="A181" s="57"/>
      <c r="B181" s="57"/>
      <c r="C181" s="57"/>
      <c r="D181" s="58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ht="15.75" customHeight="1">
      <c r="A182" s="57"/>
      <c r="B182" s="57"/>
      <c r="C182" s="57"/>
      <c r="D182" s="58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ht="15.75" customHeight="1">
      <c r="A183" s="57"/>
      <c r="B183" s="57"/>
      <c r="C183" s="57"/>
      <c r="D183" s="58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ht="15.75" customHeight="1">
      <c r="A184" s="57"/>
      <c r="B184" s="57"/>
      <c r="C184" s="57"/>
      <c r="D184" s="58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ht="15.75" customHeight="1">
      <c r="A185" s="57"/>
      <c r="B185" s="57"/>
      <c r="C185" s="57"/>
      <c r="D185" s="58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ht="15.75" customHeight="1">
      <c r="A186" s="57"/>
      <c r="B186" s="57"/>
      <c r="C186" s="57"/>
      <c r="D186" s="58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ht="15.75" customHeight="1">
      <c r="A187" s="57"/>
      <c r="B187" s="57"/>
      <c r="C187" s="57"/>
      <c r="D187" s="58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ht="15.75" customHeight="1">
      <c r="A188" s="57"/>
      <c r="B188" s="57"/>
      <c r="C188" s="57"/>
      <c r="D188" s="58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ht="15.75" customHeight="1">
      <c r="A189" s="57"/>
      <c r="B189" s="57"/>
      <c r="C189" s="57"/>
      <c r="D189" s="58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ht="15.75" customHeight="1">
      <c r="A190" s="57"/>
      <c r="B190" s="57"/>
      <c r="C190" s="57"/>
      <c r="D190" s="58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ht="15.75" customHeight="1">
      <c r="A191" s="57"/>
      <c r="B191" s="57"/>
      <c r="C191" s="57"/>
      <c r="D191" s="58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ht="15.75" customHeight="1">
      <c r="A192" s="57"/>
      <c r="B192" s="57"/>
      <c r="C192" s="57"/>
      <c r="D192" s="58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ht="15.75" customHeight="1">
      <c r="A193" s="57"/>
      <c r="B193" s="57"/>
      <c r="C193" s="57"/>
      <c r="D193" s="58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ht="15.75" customHeight="1">
      <c r="A194" s="57"/>
      <c r="B194" s="57"/>
      <c r="C194" s="57"/>
      <c r="D194" s="58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ht="15.75" customHeight="1">
      <c r="A195" s="57"/>
      <c r="B195" s="57"/>
      <c r="C195" s="57"/>
      <c r="D195" s="58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ht="15.75" customHeight="1">
      <c r="A196" s="57"/>
      <c r="B196" s="57"/>
      <c r="C196" s="57"/>
      <c r="D196" s="58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ht="15.75" customHeight="1">
      <c r="A197" s="57"/>
      <c r="B197" s="57"/>
      <c r="C197" s="57"/>
      <c r="D197" s="58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ht="15.75" customHeight="1">
      <c r="A198" s="57"/>
      <c r="B198" s="57"/>
      <c r="C198" s="57"/>
      <c r="D198" s="58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ht="15.75" customHeight="1">
      <c r="A199" s="57"/>
      <c r="B199" s="57"/>
      <c r="C199" s="57"/>
      <c r="D199" s="58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ht="15.75" customHeight="1">
      <c r="A200" s="57"/>
      <c r="B200" s="57"/>
      <c r="C200" s="57"/>
      <c r="D200" s="58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ht="15.75" customHeight="1">
      <c r="A201" s="57"/>
      <c r="B201" s="57"/>
      <c r="C201" s="57"/>
      <c r="D201" s="58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ht="15.75" customHeight="1">
      <c r="A202" s="57"/>
      <c r="B202" s="57"/>
      <c r="C202" s="57"/>
      <c r="D202" s="58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ht="15.75" customHeight="1">
      <c r="A203" s="57"/>
      <c r="B203" s="57"/>
      <c r="C203" s="57"/>
      <c r="D203" s="58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ht="15.75" customHeight="1">
      <c r="A204" s="57"/>
      <c r="B204" s="57"/>
      <c r="C204" s="57"/>
      <c r="D204" s="58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ht="15.75" customHeight="1">
      <c r="A205" s="57"/>
      <c r="B205" s="57"/>
      <c r="C205" s="57"/>
      <c r="D205" s="58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ht="15.75" customHeight="1">
      <c r="A206" s="57"/>
      <c r="B206" s="57"/>
      <c r="C206" s="57"/>
      <c r="D206" s="58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ht="15.75" customHeight="1">
      <c r="A207" s="57"/>
      <c r="B207" s="57"/>
      <c r="C207" s="57"/>
      <c r="D207" s="58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ht="15.75" customHeight="1">
      <c r="A208" s="57"/>
      <c r="B208" s="57"/>
      <c r="C208" s="57"/>
      <c r="D208" s="58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ht="15.75" customHeight="1">
      <c r="A209" s="57"/>
      <c r="B209" s="57"/>
      <c r="C209" s="57"/>
      <c r="D209" s="58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ht="15.75" customHeight="1">
      <c r="A210" s="57"/>
      <c r="B210" s="57"/>
      <c r="C210" s="57"/>
      <c r="D210" s="58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ht="15.75" customHeight="1">
      <c r="A211" s="57"/>
      <c r="B211" s="57"/>
      <c r="C211" s="57"/>
      <c r="D211" s="58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ht="15.75" customHeight="1">
      <c r="A212" s="57"/>
      <c r="B212" s="57"/>
      <c r="C212" s="57"/>
      <c r="D212" s="58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ht="15.75" customHeight="1">
      <c r="A213" s="57"/>
      <c r="B213" s="57"/>
      <c r="C213" s="57"/>
      <c r="D213" s="58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ht="15.75" customHeight="1">
      <c r="A214" s="57"/>
      <c r="B214" s="57"/>
      <c r="C214" s="57"/>
      <c r="D214" s="58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ht="15.75" customHeight="1">
      <c r="A215" s="57"/>
      <c r="B215" s="57"/>
      <c r="C215" s="57"/>
      <c r="D215" s="58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ht="15.75" customHeight="1">
      <c r="A216" s="57"/>
      <c r="B216" s="57"/>
      <c r="C216" s="57"/>
      <c r="D216" s="58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ht="15.75" customHeight="1">
      <c r="A217" s="57"/>
      <c r="B217" s="57"/>
      <c r="C217" s="57"/>
      <c r="D217" s="58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ht="15.75" customHeight="1">
      <c r="A218" s="57"/>
      <c r="B218" s="57"/>
      <c r="C218" s="57"/>
      <c r="D218" s="58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ht="15.75" customHeight="1">
      <c r="A219" s="57"/>
      <c r="B219" s="57"/>
      <c r="C219" s="57"/>
      <c r="D219" s="58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ht="15.75" customHeight="1">
      <c r="A220" s="57"/>
      <c r="B220" s="57"/>
      <c r="C220" s="57"/>
      <c r="D220" s="58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6.0"/>
    <col customWidth="1" min="4" max="5" width="8.0"/>
    <col customWidth="1" min="6" max="6" width="11.0"/>
    <col customWidth="1" min="7" max="7" width="13.0"/>
    <col customWidth="1" min="8" max="8" width="11.0"/>
    <col customWidth="1" min="9" max="9" width="12.0"/>
    <col customWidth="1" min="10" max="10" width="13.0"/>
    <col customWidth="1" min="11" max="11" width="22.0"/>
    <col customWidth="1" min="12" max="12" width="3.0"/>
    <col customWidth="1" min="13" max="13" width="11.0"/>
    <col customWidth="1" min="14" max="14" width="12.0"/>
    <col customWidth="1" min="15" max="15" width="22.29"/>
  </cols>
  <sheetData>
    <row r="1" ht="25.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8"/>
      <c r="M1" s="1" t="s">
        <v>16</v>
      </c>
      <c r="N1" s="3"/>
      <c r="O1" s="3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16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8"/>
      <c r="M2" s="22" t="s">
        <v>22</v>
      </c>
      <c r="N2" s="23"/>
      <c r="O2" s="23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16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8"/>
      <c r="M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8" t="s">
        <v>31</v>
      </c>
      <c r="B5" s="28" t="s">
        <v>33</v>
      </c>
      <c r="C5" s="28" t="s">
        <v>34</v>
      </c>
      <c r="D5" s="28" t="s">
        <v>35</v>
      </c>
      <c r="E5" s="28" t="s">
        <v>36</v>
      </c>
      <c r="F5" s="28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8"/>
      <c r="M5" s="31" t="s">
        <v>39</v>
      </c>
      <c r="N5" s="31" t="s">
        <v>40</v>
      </c>
      <c r="O5" s="31" t="s">
        <v>43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33"/>
      <c r="B6" s="33"/>
      <c r="C6" s="33"/>
      <c r="D6" s="35"/>
      <c r="E6" s="33"/>
      <c r="F6" s="36"/>
      <c r="G6" s="40" t="str">
        <f t="shared" ref="G6:G155" si="1">IF(OR(D6="",F6=""),"",D6*F6)</f>
        <v/>
      </c>
      <c r="H6" s="41"/>
      <c r="I6" s="41"/>
      <c r="J6" s="33"/>
      <c r="K6" s="33"/>
      <c r="L6" s="8"/>
      <c r="M6" s="33" t="s">
        <v>50</v>
      </c>
      <c r="N6" s="33" t="s">
        <v>47</v>
      </c>
      <c r="O6" s="40">
        <f t="shared" ref="O6:O11" si="2">SUMIFS($G$6:$G$155,$H$6:$H$155,M6,$I$6:$I$155,N6)</f>
        <v>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3"/>
      <c r="B7" s="33"/>
      <c r="C7" s="33"/>
      <c r="D7" s="35"/>
      <c r="E7" s="33"/>
      <c r="F7" s="36"/>
      <c r="G7" s="40" t="str">
        <f t="shared" si="1"/>
        <v/>
      </c>
      <c r="H7" s="41"/>
      <c r="I7" s="41"/>
      <c r="J7" s="33"/>
      <c r="K7" s="33"/>
      <c r="L7" s="8"/>
      <c r="M7" s="33" t="s">
        <v>50</v>
      </c>
      <c r="N7" s="33" t="s">
        <v>49</v>
      </c>
      <c r="O7" s="40">
        <f t="shared" si="2"/>
        <v>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3"/>
      <c r="B8" s="33"/>
      <c r="C8" s="33"/>
      <c r="D8" s="35"/>
      <c r="E8" s="33"/>
      <c r="F8" s="36"/>
      <c r="G8" s="40" t="str">
        <f t="shared" si="1"/>
        <v/>
      </c>
      <c r="H8" s="41"/>
      <c r="I8" s="41"/>
      <c r="J8" s="33"/>
      <c r="K8" s="33"/>
      <c r="L8" s="8"/>
      <c r="M8" s="33" t="s">
        <v>50</v>
      </c>
      <c r="N8" s="33" t="s">
        <v>52</v>
      </c>
      <c r="O8" s="40">
        <f t="shared" si="2"/>
        <v>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3"/>
      <c r="B9" s="33"/>
      <c r="C9" s="33"/>
      <c r="D9" s="35"/>
      <c r="E9" s="33"/>
      <c r="F9" s="36"/>
      <c r="G9" s="40" t="str">
        <f t="shared" si="1"/>
        <v/>
      </c>
      <c r="H9" s="41"/>
      <c r="I9" s="41"/>
      <c r="J9" s="33"/>
      <c r="K9" s="33"/>
      <c r="L9" s="8"/>
      <c r="M9" s="33" t="s">
        <v>50</v>
      </c>
      <c r="N9" s="33" t="s">
        <v>57</v>
      </c>
      <c r="O9" s="40">
        <f t="shared" si="2"/>
        <v>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3"/>
      <c r="B10" s="33"/>
      <c r="C10" s="33"/>
      <c r="D10" s="35"/>
      <c r="E10" s="33"/>
      <c r="F10" s="36"/>
      <c r="G10" s="40" t="str">
        <f t="shared" si="1"/>
        <v/>
      </c>
      <c r="H10" s="41"/>
      <c r="I10" s="41"/>
      <c r="J10" s="33"/>
      <c r="K10" s="33"/>
      <c r="L10" s="8"/>
      <c r="M10" s="33" t="s">
        <v>50</v>
      </c>
      <c r="N10" s="33" t="s">
        <v>58</v>
      </c>
      <c r="O10" s="40">
        <f t="shared" si="2"/>
        <v>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3"/>
      <c r="B11" s="33"/>
      <c r="C11" s="33"/>
      <c r="D11" s="35"/>
      <c r="E11" s="33"/>
      <c r="F11" s="36"/>
      <c r="G11" s="40" t="str">
        <f t="shared" si="1"/>
        <v/>
      </c>
      <c r="H11" s="41"/>
      <c r="I11" s="41"/>
      <c r="J11" s="33"/>
      <c r="K11" s="33"/>
      <c r="L11" s="8"/>
      <c r="M11" s="33" t="s">
        <v>50</v>
      </c>
      <c r="N11" s="33" t="s">
        <v>60</v>
      </c>
      <c r="O11" s="40">
        <f t="shared" si="2"/>
        <v>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3"/>
      <c r="B12" s="33"/>
      <c r="C12" s="33"/>
      <c r="D12" s="35"/>
      <c r="E12" s="33"/>
      <c r="F12" s="36"/>
      <c r="G12" s="40" t="str">
        <f t="shared" si="1"/>
        <v/>
      </c>
      <c r="H12" s="41"/>
      <c r="I12" s="41"/>
      <c r="J12" s="33"/>
      <c r="K12" s="33"/>
      <c r="L12" s="8"/>
      <c r="M12" s="48" t="s">
        <v>66</v>
      </c>
      <c r="N12" s="51"/>
      <c r="O12" s="56">
        <f>SUM(O6:O11)</f>
        <v>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3"/>
      <c r="B13" s="33"/>
      <c r="C13" s="33"/>
      <c r="D13" s="35"/>
      <c r="E13" s="33"/>
      <c r="F13" s="36"/>
      <c r="G13" s="40" t="str">
        <f t="shared" si="1"/>
        <v/>
      </c>
      <c r="H13" s="41"/>
      <c r="I13" s="41"/>
      <c r="J13" s="33"/>
      <c r="K13" s="33"/>
      <c r="L13" s="8"/>
      <c r="M13" s="8"/>
      <c r="N13" s="8"/>
      <c r="O13" s="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3"/>
      <c r="B14" s="33"/>
      <c r="C14" s="33"/>
      <c r="D14" s="35"/>
      <c r="E14" s="33"/>
      <c r="F14" s="36"/>
      <c r="G14" s="40" t="str">
        <f t="shared" si="1"/>
        <v/>
      </c>
      <c r="H14" s="41"/>
      <c r="I14" s="41"/>
      <c r="J14" s="33"/>
      <c r="K14" s="33"/>
      <c r="L14" s="8"/>
      <c r="M14" s="33" t="s">
        <v>106</v>
      </c>
      <c r="N14" s="33" t="s">
        <v>47</v>
      </c>
      <c r="O14" s="40">
        <f t="shared" ref="O14:O19" si="3">SUMIFS($G$6:$G$155,$H$6:$H$155,M14,$I$6:$I$155,N14)</f>
        <v>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3"/>
      <c r="B15" s="33"/>
      <c r="C15" s="33"/>
      <c r="D15" s="35"/>
      <c r="E15" s="33"/>
      <c r="F15" s="36"/>
      <c r="G15" s="40" t="str">
        <f t="shared" si="1"/>
        <v/>
      </c>
      <c r="H15" s="41"/>
      <c r="I15" s="41"/>
      <c r="J15" s="33"/>
      <c r="K15" s="33"/>
      <c r="L15" s="8"/>
      <c r="M15" s="33" t="s">
        <v>106</v>
      </c>
      <c r="N15" s="33" t="s">
        <v>49</v>
      </c>
      <c r="O15" s="40">
        <f t="shared" si="3"/>
        <v>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3"/>
      <c r="B16" s="33"/>
      <c r="C16" s="33"/>
      <c r="D16" s="35"/>
      <c r="E16" s="33"/>
      <c r="F16" s="36"/>
      <c r="G16" s="40" t="str">
        <f t="shared" si="1"/>
        <v/>
      </c>
      <c r="H16" s="41"/>
      <c r="I16" s="41"/>
      <c r="J16" s="33"/>
      <c r="K16" s="33"/>
      <c r="L16" s="8"/>
      <c r="M16" s="33" t="s">
        <v>106</v>
      </c>
      <c r="N16" s="33" t="s">
        <v>52</v>
      </c>
      <c r="O16" s="40">
        <f t="shared" si="3"/>
        <v>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3"/>
      <c r="B17" s="33"/>
      <c r="C17" s="33"/>
      <c r="D17" s="35"/>
      <c r="E17" s="33"/>
      <c r="F17" s="36"/>
      <c r="G17" s="40" t="str">
        <f t="shared" si="1"/>
        <v/>
      </c>
      <c r="H17" s="41"/>
      <c r="I17" s="41"/>
      <c r="J17" s="33"/>
      <c r="K17" s="33"/>
      <c r="L17" s="8"/>
      <c r="M17" s="33" t="s">
        <v>106</v>
      </c>
      <c r="N17" s="33" t="s">
        <v>57</v>
      </c>
      <c r="O17" s="40">
        <f t="shared" si="3"/>
        <v>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3"/>
      <c r="B18" s="33"/>
      <c r="C18" s="33"/>
      <c r="D18" s="35"/>
      <c r="E18" s="33"/>
      <c r="F18" s="36"/>
      <c r="G18" s="40" t="str">
        <f t="shared" si="1"/>
        <v/>
      </c>
      <c r="H18" s="41"/>
      <c r="I18" s="41"/>
      <c r="J18" s="33"/>
      <c r="K18" s="33"/>
      <c r="L18" s="8"/>
      <c r="M18" s="33" t="s">
        <v>106</v>
      </c>
      <c r="N18" s="33" t="s">
        <v>58</v>
      </c>
      <c r="O18" s="40">
        <f t="shared" si="3"/>
        <v>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3"/>
      <c r="B19" s="33"/>
      <c r="C19" s="33"/>
      <c r="D19" s="35"/>
      <c r="E19" s="33"/>
      <c r="F19" s="36"/>
      <c r="G19" s="40" t="str">
        <f t="shared" si="1"/>
        <v/>
      </c>
      <c r="H19" s="41"/>
      <c r="I19" s="41"/>
      <c r="J19" s="33"/>
      <c r="K19" s="33"/>
      <c r="L19" s="8"/>
      <c r="M19" s="33" t="s">
        <v>106</v>
      </c>
      <c r="N19" s="33" t="s">
        <v>60</v>
      </c>
      <c r="O19" s="40">
        <f t="shared" si="3"/>
        <v>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3"/>
      <c r="B20" s="33"/>
      <c r="C20" s="33"/>
      <c r="D20" s="35"/>
      <c r="E20" s="33"/>
      <c r="F20" s="36"/>
      <c r="G20" s="40" t="str">
        <f t="shared" si="1"/>
        <v/>
      </c>
      <c r="H20" s="41"/>
      <c r="I20" s="41"/>
      <c r="J20" s="33"/>
      <c r="K20" s="33"/>
      <c r="L20" s="8"/>
      <c r="M20" s="48" t="s">
        <v>123</v>
      </c>
      <c r="N20" s="51"/>
      <c r="O20" s="56">
        <f>SUM(O14:O19)</f>
        <v>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3"/>
      <c r="B21" s="33"/>
      <c r="C21" s="33"/>
      <c r="D21" s="35"/>
      <c r="E21" s="33"/>
      <c r="F21" s="36"/>
      <c r="G21" s="40" t="str">
        <f t="shared" si="1"/>
        <v/>
      </c>
      <c r="H21" s="41"/>
      <c r="I21" s="41"/>
      <c r="J21" s="33"/>
      <c r="K21" s="33"/>
      <c r="L21" s="8"/>
      <c r="M21" s="8"/>
      <c r="N21" s="8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3"/>
      <c r="B22" s="33"/>
      <c r="C22" s="33"/>
      <c r="D22" s="35"/>
      <c r="E22" s="33"/>
      <c r="F22" s="36"/>
      <c r="G22" s="40" t="str">
        <f t="shared" si="1"/>
        <v/>
      </c>
      <c r="H22" s="41"/>
      <c r="I22" s="41"/>
      <c r="J22" s="33"/>
      <c r="K22" s="33"/>
      <c r="L22" s="8"/>
      <c r="M22" s="33" t="s">
        <v>133</v>
      </c>
      <c r="N22" s="33" t="s">
        <v>47</v>
      </c>
      <c r="O22" s="40">
        <f t="shared" ref="O22:O27" si="4">SUMIFS($G$6:$G$155,$H$6:$H$155,M22,$I$6:$I$155,N22)</f>
        <v>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3"/>
      <c r="B23" s="33"/>
      <c r="C23" s="33"/>
      <c r="D23" s="35"/>
      <c r="E23" s="33"/>
      <c r="F23" s="36"/>
      <c r="G23" s="40" t="str">
        <f t="shared" si="1"/>
        <v/>
      </c>
      <c r="H23" s="41"/>
      <c r="I23" s="41"/>
      <c r="J23" s="33"/>
      <c r="K23" s="33"/>
      <c r="L23" s="8"/>
      <c r="M23" s="33" t="s">
        <v>133</v>
      </c>
      <c r="N23" s="33" t="s">
        <v>49</v>
      </c>
      <c r="O23" s="40">
        <f t="shared" si="4"/>
        <v>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3"/>
      <c r="B24" s="33"/>
      <c r="C24" s="33"/>
      <c r="D24" s="35"/>
      <c r="E24" s="33"/>
      <c r="F24" s="36"/>
      <c r="G24" s="40" t="str">
        <f t="shared" si="1"/>
        <v/>
      </c>
      <c r="H24" s="41"/>
      <c r="I24" s="41"/>
      <c r="J24" s="33"/>
      <c r="K24" s="33"/>
      <c r="L24" s="8"/>
      <c r="M24" s="33" t="s">
        <v>133</v>
      </c>
      <c r="N24" s="33" t="s">
        <v>52</v>
      </c>
      <c r="O24" s="40">
        <f t="shared" si="4"/>
        <v>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3"/>
      <c r="B25" s="33"/>
      <c r="C25" s="33"/>
      <c r="D25" s="35"/>
      <c r="E25" s="33"/>
      <c r="F25" s="36"/>
      <c r="G25" s="40" t="str">
        <f t="shared" si="1"/>
        <v/>
      </c>
      <c r="H25" s="41"/>
      <c r="I25" s="41"/>
      <c r="J25" s="33"/>
      <c r="K25" s="33"/>
      <c r="L25" s="8"/>
      <c r="M25" s="33" t="s">
        <v>133</v>
      </c>
      <c r="N25" s="33" t="s">
        <v>57</v>
      </c>
      <c r="O25" s="40">
        <f t="shared" si="4"/>
        <v>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3"/>
      <c r="B26" s="33"/>
      <c r="C26" s="33"/>
      <c r="D26" s="35"/>
      <c r="E26" s="33"/>
      <c r="F26" s="36"/>
      <c r="G26" s="40" t="str">
        <f t="shared" si="1"/>
        <v/>
      </c>
      <c r="H26" s="41"/>
      <c r="I26" s="41"/>
      <c r="J26" s="33"/>
      <c r="K26" s="33"/>
      <c r="L26" s="8"/>
      <c r="M26" s="33" t="s">
        <v>133</v>
      </c>
      <c r="N26" s="33" t="s">
        <v>58</v>
      </c>
      <c r="O26" s="40">
        <f t="shared" si="4"/>
        <v>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3"/>
      <c r="B27" s="33"/>
      <c r="C27" s="33"/>
      <c r="D27" s="35"/>
      <c r="E27" s="33"/>
      <c r="F27" s="36"/>
      <c r="G27" s="40" t="str">
        <f t="shared" si="1"/>
        <v/>
      </c>
      <c r="H27" s="41"/>
      <c r="I27" s="41"/>
      <c r="J27" s="33"/>
      <c r="K27" s="33"/>
      <c r="L27" s="8"/>
      <c r="M27" s="33" t="s">
        <v>133</v>
      </c>
      <c r="N27" s="33" t="s">
        <v>60</v>
      </c>
      <c r="O27" s="40">
        <f t="shared" si="4"/>
        <v>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3"/>
      <c r="B28" s="33"/>
      <c r="C28" s="33"/>
      <c r="D28" s="35"/>
      <c r="E28" s="33"/>
      <c r="F28" s="36"/>
      <c r="G28" s="40" t="str">
        <f t="shared" si="1"/>
        <v/>
      </c>
      <c r="H28" s="41"/>
      <c r="I28" s="41"/>
      <c r="J28" s="33"/>
      <c r="K28" s="33"/>
      <c r="L28" s="8"/>
      <c r="M28" s="48" t="s">
        <v>138</v>
      </c>
      <c r="N28" s="51"/>
      <c r="O28" s="56">
        <f>SUM(O22:O27)</f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3"/>
      <c r="B29" s="33"/>
      <c r="C29" s="33"/>
      <c r="D29" s="35"/>
      <c r="E29" s="33"/>
      <c r="F29" s="36"/>
      <c r="G29" s="40" t="str">
        <f t="shared" si="1"/>
        <v/>
      </c>
      <c r="H29" s="41"/>
      <c r="I29" s="41"/>
      <c r="J29" s="33"/>
      <c r="K29" s="33"/>
      <c r="L29" s="8"/>
      <c r="M29" s="8"/>
      <c r="N29" s="8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3"/>
      <c r="B30" s="33"/>
      <c r="C30" s="33"/>
      <c r="D30" s="35"/>
      <c r="E30" s="33"/>
      <c r="F30" s="36"/>
      <c r="G30" s="40" t="str">
        <f t="shared" si="1"/>
        <v/>
      </c>
      <c r="H30" s="41"/>
      <c r="I30" s="41"/>
      <c r="J30" s="33"/>
      <c r="K30" s="33"/>
      <c r="L30" s="8"/>
      <c r="M30" s="63" t="s">
        <v>142</v>
      </c>
      <c r="N30" s="3"/>
      <c r="O30" s="64">
        <f>SUM(G6:G155)</f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3"/>
      <c r="B31" s="33"/>
      <c r="C31" s="33"/>
      <c r="D31" s="35"/>
      <c r="E31" s="33"/>
      <c r="F31" s="36"/>
      <c r="G31" s="40" t="str">
        <f t="shared" si="1"/>
        <v/>
      </c>
      <c r="H31" s="41"/>
      <c r="I31" s="41"/>
      <c r="J31" s="33"/>
      <c r="K31" s="33"/>
      <c r="L31" s="8"/>
      <c r="M31" s="8"/>
      <c r="N31" s="8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3"/>
      <c r="B32" s="33"/>
      <c r="C32" s="33"/>
      <c r="D32" s="35"/>
      <c r="E32" s="33"/>
      <c r="F32" s="36"/>
      <c r="G32" s="40" t="str">
        <f t="shared" si="1"/>
        <v/>
      </c>
      <c r="H32" s="41"/>
      <c r="I32" s="41"/>
      <c r="J32" s="33"/>
      <c r="K32" s="33"/>
      <c r="L32" s="8"/>
      <c r="M32" s="8"/>
      <c r="N32" s="8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3"/>
      <c r="B33" s="33"/>
      <c r="C33" s="33"/>
      <c r="D33" s="35"/>
      <c r="E33" s="33"/>
      <c r="F33" s="36"/>
      <c r="G33" s="40" t="str">
        <f t="shared" si="1"/>
        <v/>
      </c>
      <c r="H33" s="41"/>
      <c r="I33" s="41"/>
      <c r="J33" s="33"/>
      <c r="K33" s="33"/>
      <c r="L33" s="8"/>
      <c r="M33" s="8"/>
      <c r="N33" s="8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3"/>
      <c r="B34" s="33"/>
      <c r="C34" s="33"/>
      <c r="D34" s="35"/>
      <c r="E34" s="33"/>
      <c r="F34" s="36"/>
      <c r="G34" s="40" t="str">
        <f t="shared" si="1"/>
        <v/>
      </c>
      <c r="H34" s="41"/>
      <c r="I34" s="41"/>
      <c r="J34" s="33"/>
      <c r="K34" s="33"/>
      <c r="L34" s="8"/>
      <c r="M34" s="8"/>
      <c r="N34" s="8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3"/>
      <c r="B35" s="33"/>
      <c r="C35" s="33"/>
      <c r="D35" s="35"/>
      <c r="E35" s="33"/>
      <c r="F35" s="36"/>
      <c r="G35" s="40" t="str">
        <f t="shared" si="1"/>
        <v/>
      </c>
      <c r="H35" s="41"/>
      <c r="I35" s="41"/>
      <c r="J35" s="33"/>
      <c r="K35" s="33"/>
      <c r="L35" s="8"/>
      <c r="M35" s="8"/>
      <c r="N35" s="8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3"/>
      <c r="B36" s="33"/>
      <c r="C36" s="33"/>
      <c r="D36" s="35"/>
      <c r="E36" s="33"/>
      <c r="F36" s="36"/>
      <c r="G36" s="40" t="str">
        <f t="shared" si="1"/>
        <v/>
      </c>
      <c r="H36" s="41"/>
      <c r="I36" s="41"/>
      <c r="J36" s="33"/>
      <c r="K36" s="33"/>
      <c r="L36" s="8"/>
      <c r="M36" s="8"/>
      <c r="N36" s="8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3"/>
      <c r="B37" s="33"/>
      <c r="C37" s="33"/>
      <c r="D37" s="35"/>
      <c r="E37" s="33"/>
      <c r="F37" s="36"/>
      <c r="G37" s="40" t="str">
        <f t="shared" si="1"/>
        <v/>
      </c>
      <c r="H37" s="41"/>
      <c r="I37" s="41"/>
      <c r="J37" s="33"/>
      <c r="K37" s="33"/>
      <c r="L37" s="8"/>
      <c r="M37" s="8"/>
      <c r="N37" s="8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3"/>
      <c r="B38" s="33"/>
      <c r="C38" s="33"/>
      <c r="D38" s="35"/>
      <c r="E38" s="33"/>
      <c r="F38" s="36"/>
      <c r="G38" s="40" t="str">
        <f t="shared" si="1"/>
        <v/>
      </c>
      <c r="H38" s="41"/>
      <c r="I38" s="41"/>
      <c r="J38" s="33"/>
      <c r="K38" s="33"/>
      <c r="L38" s="8"/>
      <c r="M38" s="8"/>
      <c r="N38" s="8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3"/>
      <c r="B39" s="33"/>
      <c r="C39" s="33"/>
      <c r="D39" s="35"/>
      <c r="E39" s="33"/>
      <c r="F39" s="36"/>
      <c r="G39" s="40" t="str">
        <f t="shared" si="1"/>
        <v/>
      </c>
      <c r="H39" s="41"/>
      <c r="I39" s="41"/>
      <c r="J39" s="33"/>
      <c r="K39" s="33"/>
      <c r="L39" s="8"/>
      <c r="M39" s="8"/>
      <c r="N39" s="8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3"/>
      <c r="B40" s="33"/>
      <c r="C40" s="33"/>
      <c r="D40" s="35"/>
      <c r="E40" s="33"/>
      <c r="F40" s="36"/>
      <c r="G40" s="40" t="str">
        <f t="shared" si="1"/>
        <v/>
      </c>
      <c r="H40" s="41"/>
      <c r="I40" s="41"/>
      <c r="J40" s="33"/>
      <c r="K40" s="33"/>
      <c r="L40" s="8"/>
      <c r="M40" s="8"/>
      <c r="N40" s="8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3"/>
      <c r="B41" s="33"/>
      <c r="C41" s="33"/>
      <c r="D41" s="35"/>
      <c r="E41" s="33"/>
      <c r="F41" s="36"/>
      <c r="G41" s="40" t="str">
        <f t="shared" si="1"/>
        <v/>
      </c>
      <c r="H41" s="41"/>
      <c r="I41" s="41"/>
      <c r="J41" s="33"/>
      <c r="K41" s="33"/>
      <c r="L41" s="8"/>
      <c r="M41" s="8"/>
      <c r="N41" s="8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3"/>
      <c r="B42" s="33"/>
      <c r="C42" s="33"/>
      <c r="D42" s="35"/>
      <c r="E42" s="33"/>
      <c r="F42" s="36"/>
      <c r="G42" s="40" t="str">
        <f t="shared" si="1"/>
        <v/>
      </c>
      <c r="H42" s="41"/>
      <c r="I42" s="41"/>
      <c r="J42" s="33"/>
      <c r="K42" s="33"/>
      <c r="L42" s="8"/>
      <c r="M42" s="8"/>
      <c r="N42" s="8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3"/>
      <c r="B43" s="33"/>
      <c r="C43" s="33"/>
      <c r="D43" s="35"/>
      <c r="E43" s="33"/>
      <c r="F43" s="36"/>
      <c r="G43" s="40" t="str">
        <f t="shared" si="1"/>
        <v/>
      </c>
      <c r="H43" s="41"/>
      <c r="I43" s="41"/>
      <c r="J43" s="33"/>
      <c r="K43" s="33"/>
      <c r="L43" s="8"/>
      <c r="M43" s="8"/>
      <c r="N43" s="8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3"/>
      <c r="B44" s="33"/>
      <c r="C44" s="33"/>
      <c r="D44" s="35"/>
      <c r="E44" s="33"/>
      <c r="F44" s="36"/>
      <c r="G44" s="40" t="str">
        <f t="shared" si="1"/>
        <v/>
      </c>
      <c r="H44" s="41"/>
      <c r="I44" s="41"/>
      <c r="J44" s="33"/>
      <c r="K44" s="33"/>
      <c r="L44" s="8"/>
      <c r="M44" s="8"/>
      <c r="N44" s="8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3"/>
      <c r="B45" s="33"/>
      <c r="C45" s="33"/>
      <c r="D45" s="35"/>
      <c r="E45" s="33"/>
      <c r="F45" s="36"/>
      <c r="G45" s="40" t="str">
        <f t="shared" si="1"/>
        <v/>
      </c>
      <c r="H45" s="41"/>
      <c r="I45" s="41"/>
      <c r="J45" s="33"/>
      <c r="K45" s="33"/>
      <c r="L45" s="8"/>
      <c r="M45" s="8"/>
      <c r="N45" s="8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3"/>
      <c r="B46" s="33"/>
      <c r="C46" s="33"/>
      <c r="D46" s="35"/>
      <c r="E46" s="33"/>
      <c r="F46" s="36"/>
      <c r="G46" s="40" t="str">
        <f t="shared" si="1"/>
        <v/>
      </c>
      <c r="H46" s="41"/>
      <c r="I46" s="41"/>
      <c r="J46" s="33"/>
      <c r="K46" s="33"/>
      <c r="L46" s="8"/>
      <c r="M46" s="8"/>
      <c r="N46" s="8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3"/>
      <c r="B47" s="33"/>
      <c r="C47" s="33"/>
      <c r="D47" s="35"/>
      <c r="E47" s="33"/>
      <c r="F47" s="36"/>
      <c r="G47" s="40" t="str">
        <f t="shared" si="1"/>
        <v/>
      </c>
      <c r="H47" s="41"/>
      <c r="I47" s="41"/>
      <c r="J47" s="33"/>
      <c r="K47" s="33"/>
      <c r="L47" s="8"/>
      <c r="M47" s="8"/>
      <c r="N47" s="8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3"/>
      <c r="B48" s="33"/>
      <c r="C48" s="33"/>
      <c r="D48" s="35"/>
      <c r="E48" s="33"/>
      <c r="F48" s="36"/>
      <c r="G48" s="40" t="str">
        <f t="shared" si="1"/>
        <v/>
      </c>
      <c r="H48" s="41"/>
      <c r="I48" s="41"/>
      <c r="J48" s="33"/>
      <c r="K48" s="33"/>
      <c r="L48" s="8"/>
      <c r="M48" s="8"/>
      <c r="N48" s="8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3"/>
      <c r="B49" s="33"/>
      <c r="C49" s="33"/>
      <c r="D49" s="35"/>
      <c r="E49" s="33"/>
      <c r="F49" s="36"/>
      <c r="G49" s="40" t="str">
        <f t="shared" si="1"/>
        <v/>
      </c>
      <c r="H49" s="41"/>
      <c r="I49" s="41"/>
      <c r="J49" s="33"/>
      <c r="K49" s="33"/>
      <c r="L49" s="8"/>
      <c r="M49" s="8"/>
      <c r="N49" s="8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3"/>
      <c r="B50" s="33"/>
      <c r="C50" s="33"/>
      <c r="D50" s="35"/>
      <c r="E50" s="33"/>
      <c r="F50" s="36"/>
      <c r="G50" s="40" t="str">
        <f t="shared" si="1"/>
        <v/>
      </c>
      <c r="H50" s="41"/>
      <c r="I50" s="41"/>
      <c r="J50" s="33"/>
      <c r="K50" s="33"/>
      <c r="L50" s="8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3"/>
      <c r="B51" s="33"/>
      <c r="C51" s="33"/>
      <c r="D51" s="35"/>
      <c r="E51" s="33"/>
      <c r="F51" s="36"/>
      <c r="G51" s="40" t="str">
        <f t="shared" si="1"/>
        <v/>
      </c>
      <c r="H51" s="41"/>
      <c r="I51" s="41"/>
      <c r="J51" s="33"/>
      <c r="K51" s="33"/>
      <c r="L51" s="8"/>
      <c r="M51" s="8"/>
      <c r="N51" s="8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3"/>
      <c r="B52" s="33"/>
      <c r="C52" s="33"/>
      <c r="D52" s="35"/>
      <c r="E52" s="33"/>
      <c r="F52" s="36"/>
      <c r="G52" s="40" t="str">
        <f t="shared" si="1"/>
        <v/>
      </c>
      <c r="H52" s="41"/>
      <c r="I52" s="41"/>
      <c r="J52" s="33"/>
      <c r="K52" s="33"/>
      <c r="L52" s="8"/>
      <c r="M52" s="8"/>
      <c r="N52" s="8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3"/>
      <c r="B53" s="33"/>
      <c r="C53" s="33"/>
      <c r="D53" s="35"/>
      <c r="E53" s="33"/>
      <c r="F53" s="36"/>
      <c r="G53" s="40" t="str">
        <f t="shared" si="1"/>
        <v/>
      </c>
      <c r="H53" s="41"/>
      <c r="I53" s="41"/>
      <c r="J53" s="33"/>
      <c r="K53" s="33"/>
      <c r="L53" s="8"/>
      <c r="M53" s="8"/>
      <c r="N53" s="8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3"/>
      <c r="B54" s="33"/>
      <c r="C54" s="33"/>
      <c r="D54" s="35"/>
      <c r="E54" s="33"/>
      <c r="F54" s="36"/>
      <c r="G54" s="40" t="str">
        <f t="shared" si="1"/>
        <v/>
      </c>
      <c r="H54" s="41"/>
      <c r="I54" s="41"/>
      <c r="J54" s="33"/>
      <c r="K54" s="33"/>
      <c r="L54" s="8"/>
      <c r="M54" s="8"/>
      <c r="N54" s="8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3"/>
      <c r="B55" s="33"/>
      <c r="C55" s="33"/>
      <c r="D55" s="35"/>
      <c r="E55" s="33"/>
      <c r="F55" s="36"/>
      <c r="G55" s="40" t="str">
        <f t="shared" si="1"/>
        <v/>
      </c>
      <c r="H55" s="41"/>
      <c r="I55" s="41"/>
      <c r="J55" s="33"/>
      <c r="K55" s="33"/>
      <c r="L55" s="8"/>
      <c r="M55" s="8"/>
      <c r="N55" s="8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3"/>
      <c r="B56" s="33"/>
      <c r="C56" s="33"/>
      <c r="D56" s="35"/>
      <c r="E56" s="33"/>
      <c r="F56" s="36"/>
      <c r="G56" s="40" t="str">
        <f t="shared" si="1"/>
        <v/>
      </c>
      <c r="H56" s="41"/>
      <c r="I56" s="41"/>
      <c r="J56" s="33"/>
      <c r="K56" s="33"/>
      <c r="L56" s="8"/>
      <c r="M56" s="8"/>
      <c r="N56" s="8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3"/>
      <c r="B57" s="33"/>
      <c r="C57" s="33"/>
      <c r="D57" s="35"/>
      <c r="E57" s="33"/>
      <c r="F57" s="36"/>
      <c r="G57" s="40" t="str">
        <f t="shared" si="1"/>
        <v/>
      </c>
      <c r="H57" s="41"/>
      <c r="I57" s="41"/>
      <c r="J57" s="33"/>
      <c r="K57" s="33"/>
      <c r="L57" s="8"/>
      <c r="M57" s="8"/>
      <c r="N57" s="8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3"/>
      <c r="B58" s="33"/>
      <c r="C58" s="33"/>
      <c r="D58" s="35"/>
      <c r="E58" s="33"/>
      <c r="F58" s="36"/>
      <c r="G58" s="40" t="str">
        <f t="shared" si="1"/>
        <v/>
      </c>
      <c r="H58" s="41"/>
      <c r="I58" s="41"/>
      <c r="J58" s="33"/>
      <c r="K58" s="33"/>
      <c r="L58" s="8"/>
      <c r="M58" s="8"/>
      <c r="N58" s="8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3"/>
      <c r="B59" s="33"/>
      <c r="C59" s="33"/>
      <c r="D59" s="35"/>
      <c r="E59" s="33"/>
      <c r="F59" s="36"/>
      <c r="G59" s="40" t="str">
        <f t="shared" si="1"/>
        <v/>
      </c>
      <c r="H59" s="41"/>
      <c r="I59" s="41"/>
      <c r="J59" s="33"/>
      <c r="K59" s="33"/>
      <c r="L59" s="8"/>
      <c r="M59" s="8"/>
      <c r="N59" s="8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3"/>
      <c r="B60" s="33"/>
      <c r="C60" s="33"/>
      <c r="D60" s="35"/>
      <c r="E60" s="33"/>
      <c r="F60" s="36"/>
      <c r="G60" s="40" t="str">
        <f t="shared" si="1"/>
        <v/>
      </c>
      <c r="H60" s="41"/>
      <c r="I60" s="41"/>
      <c r="J60" s="33"/>
      <c r="K60" s="33"/>
      <c r="L60" s="8"/>
      <c r="M60" s="8"/>
      <c r="N60" s="8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3"/>
      <c r="B61" s="33"/>
      <c r="C61" s="33"/>
      <c r="D61" s="35"/>
      <c r="E61" s="33"/>
      <c r="F61" s="36"/>
      <c r="G61" s="40" t="str">
        <f t="shared" si="1"/>
        <v/>
      </c>
      <c r="H61" s="41"/>
      <c r="I61" s="41"/>
      <c r="J61" s="33"/>
      <c r="K61" s="33"/>
      <c r="L61" s="8"/>
      <c r="M61" s="8"/>
      <c r="N61" s="8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3"/>
      <c r="B62" s="33"/>
      <c r="C62" s="33"/>
      <c r="D62" s="35"/>
      <c r="E62" s="33"/>
      <c r="F62" s="36"/>
      <c r="G62" s="40" t="str">
        <f t="shared" si="1"/>
        <v/>
      </c>
      <c r="H62" s="41"/>
      <c r="I62" s="41"/>
      <c r="J62" s="33"/>
      <c r="K62" s="33"/>
      <c r="L62" s="8"/>
      <c r="M62" s="8"/>
      <c r="N62" s="8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3"/>
      <c r="B63" s="33"/>
      <c r="C63" s="33"/>
      <c r="D63" s="35"/>
      <c r="E63" s="33"/>
      <c r="F63" s="36"/>
      <c r="G63" s="40" t="str">
        <f t="shared" si="1"/>
        <v/>
      </c>
      <c r="H63" s="41"/>
      <c r="I63" s="41"/>
      <c r="J63" s="33"/>
      <c r="K63" s="33"/>
      <c r="L63" s="8"/>
      <c r="M63" s="8"/>
      <c r="N63" s="8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3"/>
      <c r="B64" s="33"/>
      <c r="C64" s="33"/>
      <c r="D64" s="35"/>
      <c r="E64" s="33"/>
      <c r="F64" s="36"/>
      <c r="G64" s="40" t="str">
        <f t="shared" si="1"/>
        <v/>
      </c>
      <c r="H64" s="41"/>
      <c r="I64" s="41"/>
      <c r="J64" s="33"/>
      <c r="K64" s="33"/>
      <c r="L64" s="8"/>
      <c r="M64" s="8"/>
      <c r="N64" s="8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3"/>
      <c r="B65" s="33"/>
      <c r="C65" s="33"/>
      <c r="D65" s="35"/>
      <c r="E65" s="33"/>
      <c r="F65" s="36"/>
      <c r="G65" s="40" t="str">
        <f t="shared" si="1"/>
        <v/>
      </c>
      <c r="H65" s="41"/>
      <c r="I65" s="41"/>
      <c r="J65" s="33"/>
      <c r="K65" s="33"/>
      <c r="L65" s="8"/>
      <c r="M65" s="8"/>
      <c r="N65" s="8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3"/>
      <c r="B66" s="33"/>
      <c r="C66" s="33"/>
      <c r="D66" s="35"/>
      <c r="E66" s="33"/>
      <c r="F66" s="36"/>
      <c r="G66" s="40" t="str">
        <f t="shared" si="1"/>
        <v/>
      </c>
      <c r="H66" s="41"/>
      <c r="I66" s="41"/>
      <c r="J66" s="33"/>
      <c r="K66" s="33"/>
      <c r="L66" s="8"/>
      <c r="M66" s="8"/>
      <c r="N66" s="8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3"/>
      <c r="B67" s="33"/>
      <c r="C67" s="33"/>
      <c r="D67" s="35"/>
      <c r="E67" s="33"/>
      <c r="F67" s="36"/>
      <c r="G67" s="40" t="str">
        <f t="shared" si="1"/>
        <v/>
      </c>
      <c r="H67" s="41"/>
      <c r="I67" s="41"/>
      <c r="J67" s="33"/>
      <c r="K67" s="33"/>
      <c r="L67" s="8"/>
      <c r="M67" s="8"/>
      <c r="N67" s="8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3"/>
      <c r="B68" s="33"/>
      <c r="C68" s="33"/>
      <c r="D68" s="35"/>
      <c r="E68" s="33"/>
      <c r="F68" s="36"/>
      <c r="G68" s="40" t="str">
        <f t="shared" si="1"/>
        <v/>
      </c>
      <c r="H68" s="41"/>
      <c r="I68" s="41"/>
      <c r="J68" s="33"/>
      <c r="K68" s="33"/>
      <c r="L68" s="8"/>
      <c r="M68" s="8"/>
      <c r="N68" s="8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3"/>
      <c r="B69" s="33"/>
      <c r="C69" s="33"/>
      <c r="D69" s="35"/>
      <c r="E69" s="33"/>
      <c r="F69" s="36"/>
      <c r="G69" s="40" t="str">
        <f t="shared" si="1"/>
        <v/>
      </c>
      <c r="H69" s="41"/>
      <c r="I69" s="41"/>
      <c r="J69" s="33"/>
      <c r="K69" s="33"/>
      <c r="L69" s="8"/>
      <c r="M69" s="8"/>
      <c r="N69" s="8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3"/>
      <c r="B70" s="33"/>
      <c r="C70" s="33"/>
      <c r="D70" s="35"/>
      <c r="E70" s="33"/>
      <c r="F70" s="36"/>
      <c r="G70" s="40" t="str">
        <f t="shared" si="1"/>
        <v/>
      </c>
      <c r="H70" s="41"/>
      <c r="I70" s="41"/>
      <c r="J70" s="33"/>
      <c r="K70" s="33"/>
      <c r="L70" s="8"/>
      <c r="M70" s="8"/>
      <c r="N70" s="8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3"/>
      <c r="B71" s="33"/>
      <c r="C71" s="33"/>
      <c r="D71" s="35"/>
      <c r="E71" s="33"/>
      <c r="F71" s="36"/>
      <c r="G71" s="40" t="str">
        <f t="shared" si="1"/>
        <v/>
      </c>
      <c r="H71" s="41"/>
      <c r="I71" s="41"/>
      <c r="J71" s="33"/>
      <c r="K71" s="33"/>
      <c r="L71" s="8"/>
      <c r="M71" s="8"/>
      <c r="N71" s="8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3"/>
      <c r="B72" s="33"/>
      <c r="C72" s="33"/>
      <c r="D72" s="35"/>
      <c r="E72" s="33"/>
      <c r="F72" s="36"/>
      <c r="G72" s="40" t="str">
        <f t="shared" si="1"/>
        <v/>
      </c>
      <c r="H72" s="41"/>
      <c r="I72" s="41"/>
      <c r="J72" s="33"/>
      <c r="K72" s="33"/>
      <c r="L72" s="8"/>
      <c r="M72" s="8"/>
      <c r="N72" s="8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3"/>
      <c r="B73" s="33"/>
      <c r="C73" s="33"/>
      <c r="D73" s="35"/>
      <c r="E73" s="33"/>
      <c r="F73" s="36"/>
      <c r="G73" s="40" t="str">
        <f t="shared" si="1"/>
        <v/>
      </c>
      <c r="H73" s="41"/>
      <c r="I73" s="41"/>
      <c r="J73" s="33"/>
      <c r="K73" s="33"/>
      <c r="L73" s="8"/>
      <c r="M73" s="8"/>
      <c r="N73" s="8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3"/>
      <c r="B74" s="33"/>
      <c r="C74" s="33"/>
      <c r="D74" s="35"/>
      <c r="E74" s="33"/>
      <c r="F74" s="36"/>
      <c r="G74" s="40" t="str">
        <f t="shared" si="1"/>
        <v/>
      </c>
      <c r="H74" s="41"/>
      <c r="I74" s="41"/>
      <c r="J74" s="33"/>
      <c r="K74" s="33"/>
      <c r="L74" s="8"/>
      <c r="M74" s="8"/>
      <c r="N74" s="8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3"/>
      <c r="B75" s="33"/>
      <c r="C75" s="33"/>
      <c r="D75" s="35"/>
      <c r="E75" s="33"/>
      <c r="F75" s="36"/>
      <c r="G75" s="40" t="str">
        <f t="shared" si="1"/>
        <v/>
      </c>
      <c r="H75" s="41"/>
      <c r="I75" s="41"/>
      <c r="J75" s="33"/>
      <c r="K75" s="33"/>
      <c r="L75" s="8"/>
      <c r="M75" s="8"/>
      <c r="N75" s="8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3"/>
      <c r="B76" s="33"/>
      <c r="C76" s="33"/>
      <c r="D76" s="35"/>
      <c r="E76" s="33"/>
      <c r="F76" s="36"/>
      <c r="G76" s="40" t="str">
        <f t="shared" si="1"/>
        <v/>
      </c>
      <c r="H76" s="41"/>
      <c r="I76" s="41"/>
      <c r="J76" s="33"/>
      <c r="K76" s="33"/>
      <c r="L76" s="8"/>
      <c r="M76" s="8"/>
      <c r="N76" s="8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3"/>
      <c r="B77" s="33"/>
      <c r="C77" s="33"/>
      <c r="D77" s="35"/>
      <c r="E77" s="33"/>
      <c r="F77" s="36"/>
      <c r="G77" s="40" t="str">
        <f t="shared" si="1"/>
        <v/>
      </c>
      <c r="H77" s="41"/>
      <c r="I77" s="41"/>
      <c r="J77" s="33"/>
      <c r="K77" s="33"/>
      <c r="L77" s="8"/>
      <c r="M77" s="8"/>
      <c r="N77" s="8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3"/>
      <c r="B78" s="33"/>
      <c r="C78" s="33"/>
      <c r="D78" s="35"/>
      <c r="E78" s="33"/>
      <c r="F78" s="36"/>
      <c r="G78" s="40" t="str">
        <f t="shared" si="1"/>
        <v/>
      </c>
      <c r="H78" s="41"/>
      <c r="I78" s="41"/>
      <c r="J78" s="33"/>
      <c r="K78" s="33"/>
      <c r="L78" s="8"/>
      <c r="M78" s="8"/>
      <c r="N78" s="8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3"/>
      <c r="B79" s="33"/>
      <c r="C79" s="33"/>
      <c r="D79" s="35"/>
      <c r="E79" s="33"/>
      <c r="F79" s="36"/>
      <c r="G79" s="40" t="str">
        <f t="shared" si="1"/>
        <v/>
      </c>
      <c r="H79" s="41"/>
      <c r="I79" s="41"/>
      <c r="J79" s="33"/>
      <c r="K79" s="33"/>
      <c r="L79" s="8"/>
      <c r="M79" s="8"/>
      <c r="N79" s="8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3"/>
      <c r="B80" s="33"/>
      <c r="C80" s="33"/>
      <c r="D80" s="35"/>
      <c r="E80" s="33"/>
      <c r="F80" s="36"/>
      <c r="G80" s="40" t="str">
        <f t="shared" si="1"/>
        <v/>
      </c>
      <c r="H80" s="41"/>
      <c r="I80" s="41"/>
      <c r="J80" s="33"/>
      <c r="K80" s="33"/>
      <c r="L80" s="8"/>
      <c r="M80" s="8"/>
      <c r="N80" s="8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3"/>
      <c r="B81" s="33"/>
      <c r="C81" s="33"/>
      <c r="D81" s="35"/>
      <c r="E81" s="33"/>
      <c r="F81" s="36"/>
      <c r="G81" s="40" t="str">
        <f t="shared" si="1"/>
        <v/>
      </c>
      <c r="H81" s="41"/>
      <c r="I81" s="41"/>
      <c r="J81" s="33"/>
      <c r="K81" s="33"/>
      <c r="L81" s="8"/>
      <c r="M81" s="8"/>
      <c r="N81" s="8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3"/>
      <c r="B82" s="33"/>
      <c r="C82" s="33"/>
      <c r="D82" s="35"/>
      <c r="E82" s="33"/>
      <c r="F82" s="36"/>
      <c r="G82" s="40" t="str">
        <f t="shared" si="1"/>
        <v/>
      </c>
      <c r="H82" s="41"/>
      <c r="I82" s="41"/>
      <c r="J82" s="33"/>
      <c r="K82" s="33"/>
      <c r="L82" s="8"/>
      <c r="M82" s="8"/>
      <c r="N82" s="8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3"/>
      <c r="B83" s="33"/>
      <c r="C83" s="33"/>
      <c r="D83" s="35"/>
      <c r="E83" s="33"/>
      <c r="F83" s="36"/>
      <c r="G83" s="40" t="str">
        <f t="shared" si="1"/>
        <v/>
      </c>
      <c r="H83" s="41"/>
      <c r="I83" s="41"/>
      <c r="J83" s="33"/>
      <c r="K83" s="33"/>
      <c r="L83" s="8"/>
      <c r="M83" s="8"/>
      <c r="N83" s="8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3"/>
      <c r="B84" s="33"/>
      <c r="C84" s="33"/>
      <c r="D84" s="35"/>
      <c r="E84" s="33"/>
      <c r="F84" s="36"/>
      <c r="G84" s="40" t="str">
        <f t="shared" si="1"/>
        <v/>
      </c>
      <c r="H84" s="41"/>
      <c r="I84" s="41"/>
      <c r="J84" s="33"/>
      <c r="K84" s="33"/>
      <c r="L84" s="8"/>
      <c r="M84" s="8"/>
      <c r="N84" s="8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3"/>
      <c r="B85" s="33"/>
      <c r="C85" s="33"/>
      <c r="D85" s="35"/>
      <c r="E85" s="33"/>
      <c r="F85" s="36"/>
      <c r="G85" s="40" t="str">
        <f t="shared" si="1"/>
        <v/>
      </c>
      <c r="H85" s="41"/>
      <c r="I85" s="41"/>
      <c r="J85" s="33"/>
      <c r="K85" s="33"/>
      <c r="L85" s="8"/>
      <c r="M85" s="8"/>
      <c r="N85" s="8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3"/>
      <c r="B86" s="33"/>
      <c r="C86" s="33"/>
      <c r="D86" s="35"/>
      <c r="E86" s="33"/>
      <c r="F86" s="36"/>
      <c r="G86" s="40" t="str">
        <f t="shared" si="1"/>
        <v/>
      </c>
      <c r="H86" s="41"/>
      <c r="I86" s="41"/>
      <c r="J86" s="33"/>
      <c r="K86" s="33"/>
      <c r="L86" s="8"/>
      <c r="M86" s="8"/>
      <c r="N86" s="8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3"/>
      <c r="B87" s="33"/>
      <c r="C87" s="33"/>
      <c r="D87" s="35"/>
      <c r="E87" s="33"/>
      <c r="F87" s="36"/>
      <c r="G87" s="40" t="str">
        <f t="shared" si="1"/>
        <v/>
      </c>
      <c r="H87" s="41"/>
      <c r="I87" s="41"/>
      <c r="J87" s="33"/>
      <c r="K87" s="33"/>
      <c r="L87" s="8"/>
      <c r="M87" s="8"/>
      <c r="N87" s="8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3"/>
      <c r="B88" s="33"/>
      <c r="C88" s="33"/>
      <c r="D88" s="35"/>
      <c r="E88" s="33"/>
      <c r="F88" s="36"/>
      <c r="G88" s="40" t="str">
        <f t="shared" si="1"/>
        <v/>
      </c>
      <c r="H88" s="41"/>
      <c r="I88" s="41"/>
      <c r="J88" s="33"/>
      <c r="K88" s="33"/>
      <c r="L88" s="8"/>
      <c r="M88" s="8"/>
      <c r="N88" s="8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3"/>
      <c r="B89" s="33"/>
      <c r="C89" s="33"/>
      <c r="D89" s="35"/>
      <c r="E89" s="33"/>
      <c r="F89" s="36"/>
      <c r="G89" s="40" t="str">
        <f t="shared" si="1"/>
        <v/>
      </c>
      <c r="H89" s="41"/>
      <c r="I89" s="41"/>
      <c r="J89" s="33"/>
      <c r="K89" s="33"/>
      <c r="L89" s="8"/>
      <c r="M89" s="8"/>
      <c r="N89" s="8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3"/>
      <c r="B90" s="33"/>
      <c r="C90" s="33"/>
      <c r="D90" s="35"/>
      <c r="E90" s="33"/>
      <c r="F90" s="36"/>
      <c r="G90" s="40" t="str">
        <f t="shared" si="1"/>
        <v/>
      </c>
      <c r="H90" s="41"/>
      <c r="I90" s="41"/>
      <c r="J90" s="33"/>
      <c r="K90" s="33"/>
      <c r="L90" s="8"/>
      <c r="M90" s="8"/>
      <c r="N90" s="8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3"/>
      <c r="B91" s="33"/>
      <c r="C91" s="33"/>
      <c r="D91" s="35"/>
      <c r="E91" s="33"/>
      <c r="F91" s="36"/>
      <c r="G91" s="40" t="str">
        <f t="shared" si="1"/>
        <v/>
      </c>
      <c r="H91" s="41"/>
      <c r="I91" s="41"/>
      <c r="J91" s="33"/>
      <c r="K91" s="33"/>
      <c r="L91" s="8"/>
      <c r="M91" s="8"/>
      <c r="N91" s="8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3"/>
      <c r="B92" s="33"/>
      <c r="C92" s="33"/>
      <c r="D92" s="35"/>
      <c r="E92" s="33"/>
      <c r="F92" s="36"/>
      <c r="G92" s="40" t="str">
        <f t="shared" si="1"/>
        <v/>
      </c>
      <c r="H92" s="41"/>
      <c r="I92" s="41"/>
      <c r="J92" s="33"/>
      <c r="K92" s="33"/>
      <c r="L92" s="8"/>
      <c r="M92" s="8"/>
      <c r="N92" s="8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3"/>
      <c r="B93" s="33"/>
      <c r="C93" s="33"/>
      <c r="D93" s="35"/>
      <c r="E93" s="33"/>
      <c r="F93" s="36"/>
      <c r="G93" s="40" t="str">
        <f t="shared" si="1"/>
        <v/>
      </c>
      <c r="H93" s="41"/>
      <c r="I93" s="41"/>
      <c r="J93" s="33"/>
      <c r="K93" s="33"/>
      <c r="L93" s="8"/>
      <c r="M93" s="8"/>
      <c r="N93" s="8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3"/>
      <c r="B94" s="33"/>
      <c r="C94" s="33"/>
      <c r="D94" s="35"/>
      <c r="E94" s="33"/>
      <c r="F94" s="36"/>
      <c r="G94" s="40" t="str">
        <f t="shared" si="1"/>
        <v/>
      </c>
      <c r="H94" s="41"/>
      <c r="I94" s="41"/>
      <c r="J94" s="33"/>
      <c r="K94" s="33"/>
      <c r="L94" s="8"/>
      <c r="M94" s="8"/>
      <c r="N94" s="8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3"/>
      <c r="B95" s="33"/>
      <c r="C95" s="33"/>
      <c r="D95" s="35"/>
      <c r="E95" s="33"/>
      <c r="F95" s="36"/>
      <c r="G95" s="40" t="str">
        <f t="shared" si="1"/>
        <v/>
      </c>
      <c r="H95" s="41"/>
      <c r="I95" s="41"/>
      <c r="J95" s="33"/>
      <c r="K95" s="33"/>
      <c r="L95" s="8"/>
      <c r="M95" s="8"/>
      <c r="N95" s="8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3"/>
      <c r="B96" s="33"/>
      <c r="C96" s="33"/>
      <c r="D96" s="35"/>
      <c r="E96" s="33"/>
      <c r="F96" s="36"/>
      <c r="G96" s="40" t="str">
        <f t="shared" si="1"/>
        <v/>
      </c>
      <c r="H96" s="41"/>
      <c r="I96" s="41"/>
      <c r="J96" s="33"/>
      <c r="K96" s="33"/>
      <c r="L96" s="8"/>
      <c r="M96" s="8"/>
      <c r="N96" s="8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3"/>
      <c r="B97" s="33"/>
      <c r="C97" s="33"/>
      <c r="D97" s="35"/>
      <c r="E97" s="33"/>
      <c r="F97" s="36"/>
      <c r="G97" s="40" t="str">
        <f t="shared" si="1"/>
        <v/>
      </c>
      <c r="H97" s="41"/>
      <c r="I97" s="41"/>
      <c r="J97" s="33"/>
      <c r="K97" s="33"/>
      <c r="L97" s="8"/>
      <c r="M97" s="8"/>
      <c r="N97" s="8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3"/>
      <c r="B98" s="33"/>
      <c r="C98" s="33"/>
      <c r="D98" s="35"/>
      <c r="E98" s="33"/>
      <c r="F98" s="36"/>
      <c r="G98" s="40" t="str">
        <f t="shared" si="1"/>
        <v/>
      </c>
      <c r="H98" s="41"/>
      <c r="I98" s="41"/>
      <c r="J98" s="33"/>
      <c r="K98" s="33"/>
      <c r="L98" s="8"/>
      <c r="M98" s="8"/>
      <c r="N98" s="8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3"/>
      <c r="B99" s="33"/>
      <c r="C99" s="33"/>
      <c r="D99" s="35"/>
      <c r="E99" s="33"/>
      <c r="F99" s="36"/>
      <c r="G99" s="40" t="str">
        <f t="shared" si="1"/>
        <v/>
      </c>
      <c r="H99" s="41"/>
      <c r="I99" s="41"/>
      <c r="J99" s="33"/>
      <c r="K99" s="33"/>
      <c r="L99" s="8"/>
      <c r="M99" s="8"/>
      <c r="N99" s="8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3"/>
      <c r="B100" s="33"/>
      <c r="C100" s="33"/>
      <c r="D100" s="35"/>
      <c r="E100" s="33"/>
      <c r="F100" s="36"/>
      <c r="G100" s="40" t="str">
        <f t="shared" si="1"/>
        <v/>
      </c>
      <c r="H100" s="41"/>
      <c r="I100" s="41"/>
      <c r="J100" s="33"/>
      <c r="K100" s="33"/>
      <c r="L100" s="8"/>
      <c r="M100" s="8"/>
      <c r="N100" s="8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3"/>
      <c r="B101" s="33"/>
      <c r="C101" s="33"/>
      <c r="D101" s="35"/>
      <c r="E101" s="33"/>
      <c r="F101" s="36"/>
      <c r="G101" s="40" t="str">
        <f t="shared" si="1"/>
        <v/>
      </c>
      <c r="H101" s="41"/>
      <c r="I101" s="41"/>
      <c r="J101" s="33"/>
      <c r="K101" s="33"/>
      <c r="L101" s="8"/>
      <c r="M101" s="8"/>
      <c r="N101" s="8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3"/>
      <c r="B102" s="33"/>
      <c r="C102" s="33"/>
      <c r="D102" s="35"/>
      <c r="E102" s="33"/>
      <c r="F102" s="36"/>
      <c r="G102" s="40" t="str">
        <f t="shared" si="1"/>
        <v/>
      </c>
      <c r="H102" s="41"/>
      <c r="I102" s="41"/>
      <c r="J102" s="33"/>
      <c r="K102" s="33"/>
      <c r="L102" s="8"/>
      <c r="M102" s="8"/>
      <c r="N102" s="8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3"/>
      <c r="B103" s="33"/>
      <c r="C103" s="33"/>
      <c r="D103" s="35"/>
      <c r="E103" s="33"/>
      <c r="F103" s="36"/>
      <c r="G103" s="40" t="str">
        <f t="shared" si="1"/>
        <v/>
      </c>
      <c r="H103" s="41"/>
      <c r="I103" s="41"/>
      <c r="J103" s="33"/>
      <c r="K103" s="33"/>
      <c r="L103" s="8"/>
      <c r="M103" s="8"/>
      <c r="N103" s="8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3"/>
      <c r="B104" s="33"/>
      <c r="C104" s="33"/>
      <c r="D104" s="35"/>
      <c r="E104" s="33"/>
      <c r="F104" s="36"/>
      <c r="G104" s="40" t="str">
        <f t="shared" si="1"/>
        <v/>
      </c>
      <c r="H104" s="41"/>
      <c r="I104" s="41"/>
      <c r="J104" s="33"/>
      <c r="K104" s="33"/>
      <c r="L104" s="8"/>
      <c r="M104" s="8"/>
      <c r="N104" s="8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3"/>
      <c r="B105" s="33"/>
      <c r="C105" s="33"/>
      <c r="D105" s="35"/>
      <c r="E105" s="33"/>
      <c r="F105" s="36"/>
      <c r="G105" s="40" t="str">
        <f t="shared" si="1"/>
        <v/>
      </c>
      <c r="H105" s="41"/>
      <c r="I105" s="41"/>
      <c r="J105" s="33"/>
      <c r="K105" s="33"/>
      <c r="L105" s="8"/>
      <c r="M105" s="8"/>
      <c r="N105" s="8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3"/>
      <c r="B106" s="33"/>
      <c r="C106" s="33"/>
      <c r="D106" s="35"/>
      <c r="E106" s="33"/>
      <c r="F106" s="36"/>
      <c r="G106" s="40" t="str">
        <f t="shared" si="1"/>
        <v/>
      </c>
      <c r="H106" s="41"/>
      <c r="I106" s="41"/>
      <c r="J106" s="33"/>
      <c r="K106" s="33"/>
      <c r="L106" s="8"/>
      <c r="M106" s="8"/>
      <c r="N106" s="8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3"/>
      <c r="B107" s="33"/>
      <c r="C107" s="33"/>
      <c r="D107" s="35"/>
      <c r="E107" s="33"/>
      <c r="F107" s="36"/>
      <c r="G107" s="40" t="str">
        <f t="shared" si="1"/>
        <v/>
      </c>
      <c r="H107" s="41"/>
      <c r="I107" s="41"/>
      <c r="J107" s="33"/>
      <c r="K107" s="33"/>
      <c r="L107" s="8"/>
      <c r="M107" s="8"/>
      <c r="N107" s="8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3"/>
      <c r="B108" s="33"/>
      <c r="C108" s="33"/>
      <c r="D108" s="35"/>
      <c r="E108" s="33"/>
      <c r="F108" s="36"/>
      <c r="G108" s="40" t="str">
        <f t="shared" si="1"/>
        <v/>
      </c>
      <c r="H108" s="41"/>
      <c r="I108" s="41"/>
      <c r="J108" s="33"/>
      <c r="K108" s="33"/>
      <c r="L108" s="8"/>
      <c r="M108" s="8"/>
      <c r="N108" s="8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3"/>
      <c r="B109" s="33"/>
      <c r="C109" s="33"/>
      <c r="D109" s="35"/>
      <c r="E109" s="33"/>
      <c r="F109" s="36"/>
      <c r="G109" s="40" t="str">
        <f t="shared" si="1"/>
        <v/>
      </c>
      <c r="H109" s="41"/>
      <c r="I109" s="41"/>
      <c r="J109" s="33"/>
      <c r="K109" s="33"/>
      <c r="L109" s="8"/>
      <c r="M109" s="8"/>
      <c r="N109" s="8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3"/>
      <c r="B110" s="33"/>
      <c r="C110" s="33"/>
      <c r="D110" s="35"/>
      <c r="E110" s="33"/>
      <c r="F110" s="36"/>
      <c r="G110" s="40" t="str">
        <f t="shared" si="1"/>
        <v/>
      </c>
      <c r="H110" s="41"/>
      <c r="I110" s="41"/>
      <c r="J110" s="33"/>
      <c r="K110" s="33"/>
      <c r="L110" s="8"/>
      <c r="M110" s="8"/>
      <c r="N110" s="8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3"/>
      <c r="B111" s="33"/>
      <c r="C111" s="33"/>
      <c r="D111" s="35"/>
      <c r="E111" s="33"/>
      <c r="F111" s="36"/>
      <c r="G111" s="40" t="str">
        <f t="shared" si="1"/>
        <v/>
      </c>
      <c r="H111" s="41"/>
      <c r="I111" s="41"/>
      <c r="J111" s="33"/>
      <c r="K111" s="33"/>
      <c r="L111" s="8"/>
      <c r="M111" s="8"/>
      <c r="N111" s="8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3"/>
      <c r="B112" s="33"/>
      <c r="C112" s="33"/>
      <c r="D112" s="35"/>
      <c r="E112" s="33"/>
      <c r="F112" s="36"/>
      <c r="G112" s="40" t="str">
        <f t="shared" si="1"/>
        <v/>
      </c>
      <c r="H112" s="41"/>
      <c r="I112" s="41"/>
      <c r="J112" s="33"/>
      <c r="K112" s="33"/>
      <c r="L112" s="8"/>
      <c r="M112" s="8"/>
      <c r="N112" s="8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3"/>
      <c r="B113" s="33"/>
      <c r="C113" s="33"/>
      <c r="D113" s="35"/>
      <c r="E113" s="33"/>
      <c r="F113" s="36"/>
      <c r="G113" s="40" t="str">
        <f t="shared" si="1"/>
        <v/>
      </c>
      <c r="H113" s="41"/>
      <c r="I113" s="41"/>
      <c r="J113" s="33"/>
      <c r="K113" s="33"/>
      <c r="L113" s="8"/>
      <c r="M113" s="8"/>
      <c r="N113" s="8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3"/>
      <c r="B114" s="33"/>
      <c r="C114" s="33"/>
      <c r="D114" s="35"/>
      <c r="E114" s="33"/>
      <c r="F114" s="36"/>
      <c r="G114" s="40" t="str">
        <f t="shared" si="1"/>
        <v/>
      </c>
      <c r="H114" s="41"/>
      <c r="I114" s="41"/>
      <c r="J114" s="33"/>
      <c r="K114" s="33"/>
      <c r="L114" s="8"/>
      <c r="M114" s="8"/>
      <c r="N114" s="8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3"/>
      <c r="B115" s="33"/>
      <c r="C115" s="33"/>
      <c r="D115" s="35"/>
      <c r="E115" s="33"/>
      <c r="F115" s="36"/>
      <c r="G115" s="40" t="str">
        <f t="shared" si="1"/>
        <v/>
      </c>
      <c r="H115" s="41"/>
      <c r="I115" s="41"/>
      <c r="J115" s="33"/>
      <c r="K115" s="33"/>
      <c r="L115" s="8"/>
      <c r="M115" s="8"/>
      <c r="N115" s="8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3"/>
      <c r="B116" s="33"/>
      <c r="C116" s="33"/>
      <c r="D116" s="35"/>
      <c r="E116" s="33"/>
      <c r="F116" s="36"/>
      <c r="G116" s="40" t="str">
        <f t="shared" si="1"/>
        <v/>
      </c>
      <c r="H116" s="41"/>
      <c r="I116" s="41"/>
      <c r="J116" s="33"/>
      <c r="K116" s="33"/>
      <c r="L116" s="8"/>
      <c r="M116" s="8"/>
      <c r="N116" s="8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3"/>
      <c r="B117" s="33"/>
      <c r="C117" s="33"/>
      <c r="D117" s="35"/>
      <c r="E117" s="33"/>
      <c r="F117" s="36"/>
      <c r="G117" s="40" t="str">
        <f t="shared" si="1"/>
        <v/>
      </c>
      <c r="H117" s="41"/>
      <c r="I117" s="41"/>
      <c r="J117" s="33"/>
      <c r="K117" s="33"/>
      <c r="L117" s="8"/>
      <c r="M117" s="8"/>
      <c r="N117" s="8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3"/>
      <c r="B118" s="33"/>
      <c r="C118" s="33"/>
      <c r="D118" s="35"/>
      <c r="E118" s="33"/>
      <c r="F118" s="36"/>
      <c r="G118" s="40" t="str">
        <f t="shared" si="1"/>
        <v/>
      </c>
      <c r="H118" s="41"/>
      <c r="I118" s="41"/>
      <c r="J118" s="33"/>
      <c r="K118" s="33"/>
      <c r="L118" s="8"/>
      <c r="M118" s="8"/>
      <c r="N118" s="8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3"/>
      <c r="B119" s="33"/>
      <c r="C119" s="33"/>
      <c r="D119" s="35"/>
      <c r="E119" s="33"/>
      <c r="F119" s="36"/>
      <c r="G119" s="40" t="str">
        <f t="shared" si="1"/>
        <v/>
      </c>
      <c r="H119" s="41"/>
      <c r="I119" s="41"/>
      <c r="J119" s="33"/>
      <c r="K119" s="33"/>
      <c r="L119" s="8"/>
      <c r="M119" s="8"/>
      <c r="N119" s="8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3"/>
      <c r="B120" s="33"/>
      <c r="C120" s="33"/>
      <c r="D120" s="35"/>
      <c r="E120" s="33"/>
      <c r="F120" s="36"/>
      <c r="G120" s="40" t="str">
        <f t="shared" si="1"/>
        <v/>
      </c>
      <c r="H120" s="41"/>
      <c r="I120" s="41"/>
      <c r="J120" s="33"/>
      <c r="K120" s="33"/>
      <c r="L120" s="8"/>
      <c r="M120" s="8"/>
      <c r="N120" s="8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3"/>
      <c r="B121" s="33"/>
      <c r="C121" s="33"/>
      <c r="D121" s="35"/>
      <c r="E121" s="33"/>
      <c r="F121" s="36"/>
      <c r="G121" s="40" t="str">
        <f t="shared" si="1"/>
        <v/>
      </c>
      <c r="H121" s="41"/>
      <c r="I121" s="41"/>
      <c r="J121" s="33"/>
      <c r="K121" s="33"/>
      <c r="L121" s="8"/>
      <c r="M121" s="8"/>
      <c r="N121" s="8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3"/>
      <c r="B122" s="33"/>
      <c r="C122" s="33"/>
      <c r="D122" s="35"/>
      <c r="E122" s="33"/>
      <c r="F122" s="36"/>
      <c r="G122" s="40" t="str">
        <f t="shared" si="1"/>
        <v/>
      </c>
      <c r="H122" s="41"/>
      <c r="I122" s="41"/>
      <c r="J122" s="33"/>
      <c r="K122" s="33"/>
      <c r="L122" s="8"/>
      <c r="M122" s="8"/>
      <c r="N122" s="8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3"/>
      <c r="B123" s="33"/>
      <c r="C123" s="33"/>
      <c r="D123" s="35"/>
      <c r="E123" s="33"/>
      <c r="F123" s="36"/>
      <c r="G123" s="40" t="str">
        <f t="shared" si="1"/>
        <v/>
      </c>
      <c r="H123" s="41"/>
      <c r="I123" s="41"/>
      <c r="J123" s="33"/>
      <c r="K123" s="33"/>
      <c r="L123" s="8"/>
      <c r="M123" s="8"/>
      <c r="N123" s="8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3"/>
      <c r="B124" s="33"/>
      <c r="C124" s="33"/>
      <c r="D124" s="35"/>
      <c r="E124" s="33"/>
      <c r="F124" s="36"/>
      <c r="G124" s="40" t="str">
        <f t="shared" si="1"/>
        <v/>
      </c>
      <c r="H124" s="41"/>
      <c r="I124" s="41"/>
      <c r="J124" s="33"/>
      <c r="K124" s="33"/>
      <c r="L124" s="8"/>
      <c r="M124" s="8"/>
      <c r="N124" s="8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3"/>
      <c r="B125" s="33"/>
      <c r="C125" s="33"/>
      <c r="D125" s="35"/>
      <c r="E125" s="33"/>
      <c r="F125" s="36"/>
      <c r="G125" s="40" t="str">
        <f t="shared" si="1"/>
        <v/>
      </c>
      <c r="H125" s="41"/>
      <c r="I125" s="41"/>
      <c r="J125" s="33"/>
      <c r="K125" s="33"/>
      <c r="L125" s="8"/>
      <c r="M125" s="8"/>
      <c r="N125" s="8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3"/>
      <c r="B126" s="33"/>
      <c r="C126" s="33"/>
      <c r="D126" s="35"/>
      <c r="E126" s="33"/>
      <c r="F126" s="36"/>
      <c r="G126" s="40" t="str">
        <f t="shared" si="1"/>
        <v/>
      </c>
      <c r="H126" s="41"/>
      <c r="I126" s="41"/>
      <c r="J126" s="33"/>
      <c r="K126" s="33"/>
      <c r="L126" s="8"/>
      <c r="M126" s="8"/>
      <c r="N126" s="8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3"/>
      <c r="B127" s="33"/>
      <c r="C127" s="33"/>
      <c r="D127" s="35"/>
      <c r="E127" s="33"/>
      <c r="F127" s="36"/>
      <c r="G127" s="40" t="str">
        <f t="shared" si="1"/>
        <v/>
      </c>
      <c r="H127" s="41"/>
      <c r="I127" s="41"/>
      <c r="J127" s="33"/>
      <c r="K127" s="33"/>
      <c r="L127" s="8"/>
      <c r="M127" s="8"/>
      <c r="N127" s="8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3"/>
      <c r="B128" s="33"/>
      <c r="C128" s="33"/>
      <c r="D128" s="35"/>
      <c r="E128" s="33"/>
      <c r="F128" s="36"/>
      <c r="G128" s="40" t="str">
        <f t="shared" si="1"/>
        <v/>
      </c>
      <c r="H128" s="41"/>
      <c r="I128" s="41"/>
      <c r="J128" s="33"/>
      <c r="K128" s="33"/>
      <c r="L128" s="8"/>
      <c r="M128" s="8"/>
      <c r="N128" s="8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3"/>
      <c r="B129" s="33"/>
      <c r="C129" s="33"/>
      <c r="D129" s="35"/>
      <c r="E129" s="33"/>
      <c r="F129" s="36"/>
      <c r="G129" s="40" t="str">
        <f t="shared" si="1"/>
        <v/>
      </c>
      <c r="H129" s="41"/>
      <c r="I129" s="41"/>
      <c r="J129" s="33"/>
      <c r="K129" s="33"/>
      <c r="L129" s="8"/>
      <c r="M129" s="8"/>
      <c r="N129" s="8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3"/>
      <c r="B130" s="33"/>
      <c r="C130" s="33"/>
      <c r="D130" s="35"/>
      <c r="E130" s="33"/>
      <c r="F130" s="36"/>
      <c r="G130" s="40" t="str">
        <f t="shared" si="1"/>
        <v/>
      </c>
      <c r="H130" s="41"/>
      <c r="I130" s="41"/>
      <c r="J130" s="33"/>
      <c r="K130" s="33"/>
      <c r="L130" s="8"/>
      <c r="M130" s="8"/>
      <c r="N130" s="8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3"/>
      <c r="B131" s="33"/>
      <c r="C131" s="33"/>
      <c r="D131" s="35"/>
      <c r="E131" s="33"/>
      <c r="F131" s="36"/>
      <c r="G131" s="40" t="str">
        <f t="shared" si="1"/>
        <v/>
      </c>
      <c r="H131" s="41"/>
      <c r="I131" s="41"/>
      <c r="J131" s="33"/>
      <c r="K131" s="33"/>
      <c r="L131" s="8"/>
      <c r="M131" s="8"/>
      <c r="N131" s="8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3"/>
      <c r="B132" s="33"/>
      <c r="C132" s="33"/>
      <c r="D132" s="35"/>
      <c r="E132" s="33"/>
      <c r="F132" s="36"/>
      <c r="G132" s="40" t="str">
        <f t="shared" si="1"/>
        <v/>
      </c>
      <c r="H132" s="41"/>
      <c r="I132" s="41"/>
      <c r="J132" s="33"/>
      <c r="K132" s="33"/>
      <c r="L132" s="8"/>
      <c r="M132" s="8"/>
      <c r="N132" s="8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3"/>
      <c r="B133" s="33"/>
      <c r="C133" s="33"/>
      <c r="D133" s="35"/>
      <c r="E133" s="33"/>
      <c r="F133" s="36"/>
      <c r="G133" s="40" t="str">
        <f t="shared" si="1"/>
        <v/>
      </c>
      <c r="H133" s="41"/>
      <c r="I133" s="41"/>
      <c r="J133" s="33"/>
      <c r="K133" s="33"/>
      <c r="L133" s="8"/>
      <c r="M133" s="8"/>
      <c r="N133" s="8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3"/>
      <c r="B134" s="33"/>
      <c r="C134" s="33"/>
      <c r="D134" s="35"/>
      <c r="E134" s="33"/>
      <c r="F134" s="36"/>
      <c r="G134" s="40" t="str">
        <f t="shared" si="1"/>
        <v/>
      </c>
      <c r="H134" s="41"/>
      <c r="I134" s="41"/>
      <c r="J134" s="33"/>
      <c r="K134" s="33"/>
      <c r="L134" s="8"/>
      <c r="M134" s="8"/>
      <c r="N134" s="8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3"/>
      <c r="B135" s="33"/>
      <c r="C135" s="33"/>
      <c r="D135" s="35"/>
      <c r="E135" s="33"/>
      <c r="F135" s="36"/>
      <c r="G135" s="40" t="str">
        <f t="shared" si="1"/>
        <v/>
      </c>
      <c r="H135" s="41"/>
      <c r="I135" s="41"/>
      <c r="J135" s="33"/>
      <c r="K135" s="33"/>
      <c r="L135" s="8"/>
      <c r="M135" s="8"/>
      <c r="N135" s="8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3"/>
      <c r="B136" s="33"/>
      <c r="C136" s="33"/>
      <c r="D136" s="35"/>
      <c r="E136" s="33"/>
      <c r="F136" s="36"/>
      <c r="G136" s="40" t="str">
        <f t="shared" si="1"/>
        <v/>
      </c>
      <c r="H136" s="41"/>
      <c r="I136" s="41"/>
      <c r="J136" s="33"/>
      <c r="K136" s="33"/>
      <c r="L136" s="8"/>
      <c r="M136" s="8"/>
      <c r="N136" s="8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3"/>
      <c r="B137" s="33"/>
      <c r="C137" s="33"/>
      <c r="D137" s="35"/>
      <c r="E137" s="33"/>
      <c r="F137" s="36"/>
      <c r="G137" s="40" t="str">
        <f t="shared" si="1"/>
        <v/>
      </c>
      <c r="H137" s="41"/>
      <c r="I137" s="41"/>
      <c r="J137" s="33"/>
      <c r="K137" s="33"/>
      <c r="L137" s="8"/>
      <c r="M137" s="8"/>
      <c r="N137" s="8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3"/>
      <c r="B138" s="33"/>
      <c r="C138" s="33"/>
      <c r="D138" s="35"/>
      <c r="E138" s="33"/>
      <c r="F138" s="36"/>
      <c r="G138" s="40" t="str">
        <f t="shared" si="1"/>
        <v/>
      </c>
      <c r="H138" s="41"/>
      <c r="I138" s="41"/>
      <c r="J138" s="33"/>
      <c r="K138" s="33"/>
      <c r="L138" s="8"/>
      <c r="M138" s="8"/>
      <c r="N138" s="8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3"/>
      <c r="B139" s="33"/>
      <c r="C139" s="33"/>
      <c r="D139" s="35"/>
      <c r="E139" s="33"/>
      <c r="F139" s="36"/>
      <c r="G139" s="40" t="str">
        <f t="shared" si="1"/>
        <v/>
      </c>
      <c r="H139" s="41"/>
      <c r="I139" s="41"/>
      <c r="J139" s="33"/>
      <c r="K139" s="33"/>
      <c r="L139" s="8"/>
      <c r="M139" s="8"/>
      <c r="N139" s="8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3"/>
      <c r="B140" s="33"/>
      <c r="C140" s="33"/>
      <c r="D140" s="35"/>
      <c r="E140" s="33"/>
      <c r="F140" s="36"/>
      <c r="G140" s="40" t="str">
        <f t="shared" si="1"/>
        <v/>
      </c>
      <c r="H140" s="41"/>
      <c r="I140" s="41"/>
      <c r="J140" s="33"/>
      <c r="K140" s="33"/>
      <c r="L140" s="8"/>
      <c r="M140" s="8"/>
      <c r="N140" s="8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3"/>
      <c r="B141" s="33"/>
      <c r="C141" s="33"/>
      <c r="D141" s="35"/>
      <c r="E141" s="33"/>
      <c r="F141" s="36"/>
      <c r="G141" s="40" t="str">
        <f t="shared" si="1"/>
        <v/>
      </c>
      <c r="H141" s="41"/>
      <c r="I141" s="41"/>
      <c r="J141" s="33"/>
      <c r="K141" s="33"/>
      <c r="L141" s="8"/>
      <c r="M141" s="8"/>
      <c r="N141" s="8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3"/>
      <c r="B142" s="33"/>
      <c r="C142" s="33"/>
      <c r="D142" s="35"/>
      <c r="E142" s="33"/>
      <c r="F142" s="36"/>
      <c r="G142" s="40" t="str">
        <f t="shared" si="1"/>
        <v/>
      </c>
      <c r="H142" s="41"/>
      <c r="I142" s="41"/>
      <c r="J142" s="33"/>
      <c r="K142" s="33"/>
      <c r="L142" s="8"/>
      <c r="M142" s="8"/>
      <c r="N142" s="8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3"/>
      <c r="B143" s="33"/>
      <c r="C143" s="33"/>
      <c r="D143" s="35"/>
      <c r="E143" s="33"/>
      <c r="F143" s="36"/>
      <c r="G143" s="40" t="str">
        <f t="shared" si="1"/>
        <v/>
      </c>
      <c r="H143" s="41"/>
      <c r="I143" s="41"/>
      <c r="J143" s="33"/>
      <c r="K143" s="33"/>
      <c r="L143" s="8"/>
      <c r="M143" s="8"/>
      <c r="N143" s="8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3"/>
      <c r="B144" s="33"/>
      <c r="C144" s="33"/>
      <c r="D144" s="35"/>
      <c r="E144" s="33"/>
      <c r="F144" s="36"/>
      <c r="G144" s="40" t="str">
        <f t="shared" si="1"/>
        <v/>
      </c>
      <c r="H144" s="41"/>
      <c r="I144" s="41"/>
      <c r="J144" s="33"/>
      <c r="K144" s="33"/>
      <c r="L144" s="8"/>
      <c r="M144" s="8"/>
      <c r="N144" s="8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3"/>
      <c r="B145" s="33"/>
      <c r="C145" s="33"/>
      <c r="D145" s="35"/>
      <c r="E145" s="33"/>
      <c r="F145" s="36"/>
      <c r="G145" s="40" t="str">
        <f t="shared" si="1"/>
        <v/>
      </c>
      <c r="H145" s="41"/>
      <c r="I145" s="41"/>
      <c r="J145" s="33"/>
      <c r="K145" s="33"/>
      <c r="L145" s="8"/>
      <c r="M145" s="8"/>
      <c r="N145" s="8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3"/>
      <c r="B146" s="33"/>
      <c r="C146" s="33"/>
      <c r="D146" s="35"/>
      <c r="E146" s="33"/>
      <c r="F146" s="36"/>
      <c r="G146" s="40" t="str">
        <f t="shared" si="1"/>
        <v/>
      </c>
      <c r="H146" s="41"/>
      <c r="I146" s="41"/>
      <c r="J146" s="33"/>
      <c r="K146" s="33"/>
      <c r="L146" s="8"/>
      <c r="M146" s="8"/>
      <c r="N146" s="8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3"/>
      <c r="B147" s="33"/>
      <c r="C147" s="33"/>
      <c r="D147" s="35"/>
      <c r="E147" s="33"/>
      <c r="F147" s="36"/>
      <c r="G147" s="40" t="str">
        <f t="shared" si="1"/>
        <v/>
      </c>
      <c r="H147" s="41"/>
      <c r="I147" s="41"/>
      <c r="J147" s="33"/>
      <c r="K147" s="33"/>
      <c r="L147" s="8"/>
      <c r="M147" s="8"/>
      <c r="N147" s="8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3"/>
      <c r="B148" s="33"/>
      <c r="C148" s="33"/>
      <c r="D148" s="35"/>
      <c r="E148" s="33"/>
      <c r="F148" s="36"/>
      <c r="G148" s="40" t="str">
        <f t="shared" si="1"/>
        <v/>
      </c>
      <c r="H148" s="41"/>
      <c r="I148" s="41"/>
      <c r="J148" s="33"/>
      <c r="K148" s="33"/>
      <c r="L148" s="8"/>
      <c r="M148" s="8"/>
      <c r="N148" s="8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3"/>
      <c r="B149" s="33"/>
      <c r="C149" s="33"/>
      <c r="D149" s="35"/>
      <c r="E149" s="33"/>
      <c r="F149" s="36"/>
      <c r="G149" s="40" t="str">
        <f t="shared" si="1"/>
        <v/>
      </c>
      <c r="H149" s="41"/>
      <c r="I149" s="41"/>
      <c r="J149" s="33"/>
      <c r="K149" s="33"/>
      <c r="L149" s="8"/>
      <c r="M149" s="8"/>
      <c r="N149" s="8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3"/>
      <c r="B150" s="33"/>
      <c r="C150" s="33"/>
      <c r="D150" s="35"/>
      <c r="E150" s="33"/>
      <c r="F150" s="36"/>
      <c r="G150" s="40" t="str">
        <f t="shared" si="1"/>
        <v/>
      </c>
      <c r="H150" s="41"/>
      <c r="I150" s="41"/>
      <c r="J150" s="33"/>
      <c r="K150" s="33"/>
      <c r="L150" s="8"/>
      <c r="M150" s="8"/>
      <c r="N150" s="8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3"/>
      <c r="B151" s="33"/>
      <c r="C151" s="33"/>
      <c r="D151" s="35"/>
      <c r="E151" s="33"/>
      <c r="F151" s="36"/>
      <c r="G151" s="40" t="str">
        <f t="shared" si="1"/>
        <v/>
      </c>
      <c r="H151" s="41"/>
      <c r="I151" s="41"/>
      <c r="J151" s="33"/>
      <c r="K151" s="33"/>
      <c r="L151" s="8"/>
      <c r="M151" s="8"/>
      <c r="N151" s="8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3"/>
      <c r="B152" s="33"/>
      <c r="C152" s="33"/>
      <c r="D152" s="35"/>
      <c r="E152" s="33"/>
      <c r="F152" s="36"/>
      <c r="G152" s="40" t="str">
        <f t="shared" si="1"/>
        <v/>
      </c>
      <c r="H152" s="41"/>
      <c r="I152" s="41"/>
      <c r="J152" s="33"/>
      <c r="K152" s="33"/>
      <c r="L152" s="8"/>
      <c r="M152" s="8"/>
      <c r="N152" s="8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3"/>
      <c r="B153" s="33"/>
      <c r="C153" s="33"/>
      <c r="D153" s="35"/>
      <c r="E153" s="33"/>
      <c r="F153" s="36"/>
      <c r="G153" s="40" t="str">
        <f t="shared" si="1"/>
        <v/>
      </c>
      <c r="H153" s="41"/>
      <c r="I153" s="41"/>
      <c r="J153" s="33"/>
      <c r="K153" s="33"/>
      <c r="L153" s="8"/>
      <c r="M153" s="8"/>
      <c r="N153" s="8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3"/>
      <c r="B154" s="33"/>
      <c r="C154" s="33"/>
      <c r="D154" s="35"/>
      <c r="E154" s="33"/>
      <c r="F154" s="36"/>
      <c r="G154" s="40" t="str">
        <f t="shared" si="1"/>
        <v/>
      </c>
      <c r="H154" s="41"/>
      <c r="I154" s="41"/>
      <c r="J154" s="33"/>
      <c r="K154" s="33"/>
      <c r="L154" s="8"/>
      <c r="M154" s="8"/>
      <c r="N154" s="8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3"/>
      <c r="B155" s="33"/>
      <c r="C155" s="33"/>
      <c r="D155" s="35"/>
      <c r="E155" s="33"/>
      <c r="F155" s="36"/>
      <c r="G155" s="40" t="str">
        <f t="shared" si="1"/>
        <v/>
      </c>
      <c r="H155" s="41"/>
      <c r="I155" s="41"/>
      <c r="J155" s="33"/>
      <c r="K155" s="33"/>
      <c r="L155" s="8"/>
      <c r="M155" s="8"/>
      <c r="N155" s="8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M28:N28"/>
    <mergeCell ref="M30:N30"/>
    <mergeCell ref="A1:K1"/>
    <mergeCell ref="M1:O1"/>
    <mergeCell ref="A2:K2"/>
    <mergeCell ref="M2:O3"/>
    <mergeCell ref="A3:K3"/>
    <mergeCell ref="M12:N12"/>
    <mergeCell ref="M20:N20"/>
  </mergeCells>
  <dataValidations>
    <dataValidation type="list" allowBlank="1" sqref="J6:J155">
      <formula1>"New,Classified,Reviewed,Pushed"</formula1>
    </dataValidation>
    <dataValidation type="list" allowBlank="1" sqref="I6:I155">
      <formula1>"Labor,Hotel,Hauling,Equipment,Fuel,Misc"</formula1>
    </dataValidation>
    <dataValidation type="list" allowBlank="1" sqref="H6:H155">
      <formula1>"Interior,Exterior,Grading"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42.0"/>
    <col customWidth="1" min="3" max="3" width="16.0"/>
    <col customWidth="1" min="4" max="4" width="12.0"/>
    <col customWidth="1" min="5" max="5" width="40.0"/>
    <col customWidth="1" min="6" max="6" width="8.71"/>
  </cols>
  <sheetData>
    <row r="1" ht="21.75" customHeight="1">
      <c r="A1" s="4" t="s">
        <v>4</v>
      </c>
    </row>
    <row r="2">
      <c r="A2" s="7" t="s">
        <v>10</v>
      </c>
    </row>
    <row r="3">
      <c r="A3" s="6"/>
      <c r="B3" s="6"/>
      <c r="C3" s="6"/>
      <c r="D3" s="6"/>
      <c r="E3" s="6"/>
    </row>
    <row r="4" ht="18.0" customHeight="1">
      <c r="A4" s="12" t="s">
        <v>18</v>
      </c>
    </row>
    <row r="5">
      <c r="A5" s="17" t="s">
        <v>20</v>
      </c>
      <c r="B5" s="6"/>
      <c r="C5" s="18">
        <v>10.0</v>
      </c>
      <c r="D5" s="19" t="s">
        <v>21</v>
      </c>
      <c r="E5" s="21" t="s">
        <v>23</v>
      </c>
    </row>
    <row r="6">
      <c r="A6" s="6"/>
      <c r="B6" s="6"/>
      <c r="C6" s="6"/>
      <c r="D6" s="6"/>
      <c r="E6" s="6"/>
    </row>
    <row r="7" ht="18.0" customHeight="1">
      <c r="A7" s="12" t="s">
        <v>25</v>
      </c>
    </row>
    <row r="8">
      <c r="A8" s="24" t="s">
        <v>26</v>
      </c>
      <c r="B8" s="24" t="s">
        <v>28</v>
      </c>
      <c r="D8" s="24" t="s">
        <v>29</v>
      </c>
      <c r="E8" s="24" t="s">
        <v>30</v>
      </c>
    </row>
    <row r="9">
      <c r="A9" s="25">
        <v>4.0</v>
      </c>
      <c r="B9" s="27">
        <f>(C5*324)/A9</f>
        <v>810</v>
      </c>
      <c r="D9" s="29">
        <v>1.0</v>
      </c>
      <c r="E9" s="32">
        <f t="shared" ref="E9:E11" si="1">B9*D9</f>
        <v>810</v>
      </c>
    </row>
    <row r="10">
      <c r="A10" s="25">
        <v>5.0</v>
      </c>
      <c r="B10" s="27">
        <f>(C5*324)/A10</f>
        <v>648</v>
      </c>
      <c r="D10" s="29">
        <v>1.0</v>
      </c>
      <c r="E10" s="32">
        <f t="shared" si="1"/>
        <v>648</v>
      </c>
    </row>
    <row r="11">
      <c r="A11" s="25">
        <v>6.0</v>
      </c>
      <c r="B11" s="27">
        <f>(C5*324)/A11</f>
        <v>540</v>
      </c>
      <c r="D11" s="29">
        <v>1.0</v>
      </c>
      <c r="E11" s="32">
        <f t="shared" si="1"/>
        <v>540</v>
      </c>
    </row>
    <row r="12">
      <c r="A12" s="17" t="s">
        <v>48</v>
      </c>
      <c r="B12" s="6"/>
      <c r="C12" s="6"/>
      <c r="D12" s="6"/>
      <c r="E12" s="6"/>
    </row>
    <row r="13">
      <c r="A13" s="39"/>
      <c r="B13" s="27" t="str">
        <f>IF(A13="","",(C5*324)/A13)</f>
        <v/>
      </c>
      <c r="D13" s="29">
        <v>1.0</v>
      </c>
      <c r="E13" s="32" t="str">
        <f>IF(A13="","",B13*D13)</f>
        <v/>
      </c>
    </row>
    <row r="14">
      <c r="A14" s="21" t="s">
        <v>51</v>
      </c>
    </row>
    <row r="15">
      <c r="A15" s="6"/>
      <c r="B15" s="6"/>
      <c r="C15" s="6"/>
      <c r="D15" s="6"/>
      <c r="E15" s="6"/>
    </row>
    <row r="16" ht="18.0" customHeight="1">
      <c r="A16" s="12" t="s">
        <v>53</v>
      </c>
    </row>
    <row r="17">
      <c r="A17" s="24" t="s">
        <v>54</v>
      </c>
      <c r="B17" s="24" t="s">
        <v>55</v>
      </c>
      <c r="C17" s="24" t="s">
        <v>29</v>
      </c>
      <c r="D17" s="24"/>
      <c r="E17" s="24" t="s">
        <v>56</v>
      </c>
    </row>
    <row r="18">
      <c r="A18" s="39">
        <v>8.0</v>
      </c>
      <c r="B18" s="39">
        <v>20.0</v>
      </c>
      <c r="C18" s="39">
        <v>1.0</v>
      </c>
      <c r="D18" s="42"/>
      <c r="E18" s="43">
        <f>IF(OR(A18="",B18=""),"",(C5*C18*27)/((A18/12)*(B18/12)))</f>
        <v>243</v>
      </c>
    </row>
    <row r="19">
      <c r="A19" s="21" t="s">
        <v>59</v>
      </c>
    </row>
    <row r="20">
      <c r="A20" s="6"/>
      <c r="B20" s="6"/>
      <c r="C20" s="6"/>
      <c r="D20" s="6"/>
      <c r="E20" s="6"/>
    </row>
    <row r="21" ht="18.0" customHeight="1">
      <c r="A21" s="12" t="s">
        <v>61</v>
      </c>
    </row>
    <row r="22" ht="15.75" customHeight="1">
      <c r="A22" s="24" t="s">
        <v>40</v>
      </c>
      <c r="B22" s="24" t="s">
        <v>62</v>
      </c>
      <c r="C22" s="24" t="s">
        <v>45</v>
      </c>
      <c r="D22" s="24" t="s">
        <v>36</v>
      </c>
      <c r="E22" s="24" t="s">
        <v>63</v>
      </c>
    </row>
    <row r="23" ht="36.0" customHeight="1">
      <c r="A23" s="44" t="s">
        <v>64</v>
      </c>
      <c r="B23" s="45" t="s">
        <v>65</v>
      </c>
      <c r="C23" s="46">
        <v>50.0</v>
      </c>
      <c r="D23" s="19" t="s">
        <v>67</v>
      </c>
      <c r="E23" s="47"/>
    </row>
    <row r="24" ht="38.25" customHeight="1">
      <c r="A24" s="49" t="s">
        <v>64</v>
      </c>
      <c r="B24" s="50" t="s">
        <v>68</v>
      </c>
      <c r="C24" s="52">
        <v>50.0</v>
      </c>
      <c r="D24" s="54" t="s">
        <v>67</v>
      </c>
      <c r="E24" s="55"/>
    </row>
    <row r="25" ht="15.75" customHeight="1">
      <c r="A25" s="44" t="s">
        <v>64</v>
      </c>
      <c r="B25" s="45" t="s">
        <v>69</v>
      </c>
      <c r="C25" s="46">
        <v>65.0</v>
      </c>
      <c r="D25" s="19" t="s">
        <v>67</v>
      </c>
      <c r="E25" s="47"/>
    </row>
    <row r="26" ht="15.75" customHeight="1">
      <c r="A26" s="49" t="s">
        <v>64</v>
      </c>
      <c r="B26" s="50" t="s">
        <v>70</v>
      </c>
      <c r="C26" s="52">
        <v>85.0</v>
      </c>
      <c r="D26" s="54" t="s">
        <v>67</v>
      </c>
      <c r="E26" s="55"/>
    </row>
    <row r="27" ht="15.75" customHeight="1">
      <c r="A27" s="44" t="s">
        <v>71</v>
      </c>
      <c r="B27" s="45" t="s">
        <v>72</v>
      </c>
      <c r="C27" s="46">
        <v>375.0</v>
      </c>
      <c r="D27" s="19" t="s">
        <v>73</v>
      </c>
      <c r="E27" s="47" t="s">
        <v>74</v>
      </c>
    </row>
    <row r="28" ht="15.75" customHeight="1">
      <c r="A28" s="49" t="s">
        <v>71</v>
      </c>
      <c r="B28" s="50" t="s">
        <v>75</v>
      </c>
      <c r="C28" s="52">
        <v>175.0</v>
      </c>
      <c r="D28" s="54" t="s">
        <v>73</v>
      </c>
      <c r="E28" s="55" t="s">
        <v>74</v>
      </c>
    </row>
    <row r="29" ht="15.75" customHeight="1">
      <c r="A29" s="44" t="s">
        <v>71</v>
      </c>
      <c r="B29" s="45" t="s">
        <v>76</v>
      </c>
      <c r="C29" s="46">
        <v>106.0</v>
      </c>
      <c r="D29" s="19" t="s">
        <v>77</v>
      </c>
      <c r="E29" s="47" t="s">
        <v>78</v>
      </c>
    </row>
    <row r="30" ht="15.75" customHeight="1">
      <c r="A30" s="49" t="s">
        <v>71</v>
      </c>
      <c r="B30" s="50" t="s">
        <v>79</v>
      </c>
      <c r="C30" s="52">
        <v>155.0</v>
      </c>
      <c r="D30" s="54" t="s">
        <v>67</v>
      </c>
      <c r="E30" s="55"/>
    </row>
    <row r="31" ht="15.75" customHeight="1">
      <c r="A31" s="44" t="s">
        <v>71</v>
      </c>
      <c r="B31" s="45" t="s">
        <v>80</v>
      </c>
      <c r="C31" s="46">
        <v>155.0</v>
      </c>
      <c r="D31" s="19" t="s">
        <v>67</v>
      </c>
      <c r="E31" s="47"/>
    </row>
    <row r="32" ht="15.75" customHeight="1">
      <c r="A32" s="49" t="s">
        <v>71</v>
      </c>
      <c r="B32" s="50" t="s">
        <v>81</v>
      </c>
      <c r="C32" s="52">
        <v>185.0</v>
      </c>
      <c r="D32" s="54" t="s">
        <v>67</v>
      </c>
      <c r="E32" s="55"/>
    </row>
    <row r="33" ht="15.75" customHeight="1">
      <c r="A33" s="44" t="s">
        <v>71</v>
      </c>
      <c r="B33" s="45" t="s">
        <v>82</v>
      </c>
      <c r="C33" s="46">
        <v>185.0</v>
      </c>
      <c r="D33" s="19" t="s">
        <v>67</v>
      </c>
      <c r="E33" s="47"/>
    </row>
    <row r="34" ht="15.75" customHeight="1">
      <c r="A34" s="49" t="s">
        <v>83</v>
      </c>
      <c r="B34" s="50" t="s">
        <v>84</v>
      </c>
      <c r="C34" s="52">
        <v>800.0</v>
      </c>
      <c r="D34" s="54" t="s">
        <v>85</v>
      </c>
      <c r="E34" s="55" t="s">
        <v>86</v>
      </c>
    </row>
    <row r="35" ht="15.75" customHeight="1">
      <c r="A35" s="44" t="s">
        <v>83</v>
      </c>
      <c r="B35" s="45" t="s">
        <v>87</v>
      </c>
      <c r="C35" s="46">
        <v>900.0</v>
      </c>
      <c r="D35" s="19" t="s">
        <v>85</v>
      </c>
      <c r="E35" s="47" t="s">
        <v>86</v>
      </c>
    </row>
    <row r="36" ht="15.75" customHeight="1">
      <c r="A36" s="49" t="s">
        <v>83</v>
      </c>
      <c r="B36" s="50" t="s">
        <v>89</v>
      </c>
      <c r="C36" s="52">
        <v>800.0</v>
      </c>
      <c r="D36" s="54" t="s">
        <v>85</v>
      </c>
      <c r="E36" s="55"/>
    </row>
    <row r="37" ht="15.75" customHeight="1">
      <c r="A37" s="44" t="s">
        <v>83</v>
      </c>
      <c r="B37" s="45" t="s">
        <v>90</v>
      </c>
      <c r="C37" s="46">
        <v>850.0</v>
      </c>
      <c r="D37" s="19" t="s">
        <v>85</v>
      </c>
      <c r="E37" s="47"/>
    </row>
    <row r="38" ht="15.75" customHeight="1">
      <c r="A38" s="49" t="s">
        <v>91</v>
      </c>
      <c r="B38" s="50" t="s">
        <v>92</v>
      </c>
      <c r="C38" s="52">
        <v>110.0</v>
      </c>
      <c r="D38" s="54" t="s">
        <v>93</v>
      </c>
      <c r="E38" s="55"/>
    </row>
    <row r="39" ht="15.75" customHeight="1">
      <c r="A39" s="44" t="s">
        <v>91</v>
      </c>
      <c r="B39" s="45" t="s">
        <v>94</v>
      </c>
      <c r="C39" s="46">
        <v>110.0</v>
      </c>
      <c r="D39" s="19" t="s">
        <v>93</v>
      </c>
      <c r="E39" s="47"/>
    </row>
    <row r="40" ht="15.75" customHeight="1">
      <c r="A40" s="49" t="s">
        <v>91</v>
      </c>
      <c r="B40" s="50" t="s">
        <v>95</v>
      </c>
      <c r="C40" s="52">
        <v>125.0</v>
      </c>
      <c r="D40" s="54" t="s">
        <v>93</v>
      </c>
      <c r="E40" s="55"/>
    </row>
    <row r="41" ht="15.75" customHeight="1">
      <c r="A41" s="44" t="s">
        <v>91</v>
      </c>
      <c r="B41" s="45" t="s">
        <v>96</v>
      </c>
      <c r="C41" s="46">
        <v>95.0</v>
      </c>
      <c r="D41" s="19" t="s">
        <v>93</v>
      </c>
      <c r="E41" s="47"/>
    </row>
    <row r="42" ht="15.75" customHeight="1">
      <c r="A42" s="49" t="s">
        <v>91</v>
      </c>
      <c r="B42" s="50" t="s">
        <v>97</v>
      </c>
      <c r="C42" s="52">
        <v>65.0</v>
      </c>
      <c r="D42" s="54" t="s">
        <v>93</v>
      </c>
      <c r="E42" s="55"/>
    </row>
    <row r="43" ht="15.75" customHeight="1">
      <c r="A43" s="44" t="s">
        <v>91</v>
      </c>
      <c r="B43" s="45" t="s">
        <v>98</v>
      </c>
      <c r="C43" s="46">
        <v>35.0</v>
      </c>
      <c r="D43" s="19" t="s">
        <v>93</v>
      </c>
      <c r="E43" s="47"/>
    </row>
    <row r="44" ht="15.75" customHeight="1">
      <c r="A44" s="49" t="s">
        <v>91</v>
      </c>
      <c r="B44" s="50" t="s">
        <v>99</v>
      </c>
      <c r="C44" s="52">
        <v>25.0</v>
      </c>
      <c r="D44" s="54" t="s">
        <v>93</v>
      </c>
      <c r="E44" s="55" t="s">
        <v>100</v>
      </c>
    </row>
    <row r="45" ht="15.75" customHeight="1">
      <c r="A45" s="44" t="s">
        <v>91</v>
      </c>
      <c r="B45" s="45" t="s">
        <v>101</v>
      </c>
      <c r="C45" s="46">
        <v>25.0</v>
      </c>
      <c r="D45" s="19" t="s">
        <v>93</v>
      </c>
      <c r="E45" s="47"/>
    </row>
    <row r="46" ht="15.75" customHeight="1">
      <c r="A46" s="49" t="s">
        <v>91</v>
      </c>
      <c r="B46" s="50" t="s">
        <v>102</v>
      </c>
      <c r="C46" s="52">
        <v>65.0</v>
      </c>
      <c r="D46" s="54" t="s">
        <v>93</v>
      </c>
      <c r="E46" s="55"/>
    </row>
    <row r="47" ht="15.75" customHeight="1">
      <c r="A47" s="44" t="s">
        <v>91</v>
      </c>
      <c r="B47" s="45" t="s">
        <v>103</v>
      </c>
      <c r="C47" s="46">
        <v>85.0</v>
      </c>
      <c r="D47" s="19" t="s">
        <v>93</v>
      </c>
      <c r="E47" s="47"/>
    </row>
    <row r="48" ht="15.75" customHeight="1">
      <c r="A48" s="49" t="s">
        <v>91</v>
      </c>
      <c r="B48" s="50" t="s">
        <v>104</v>
      </c>
      <c r="C48" s="52">
        <v>575.0</v>
      </c>
      <c r="D48" s="54" t="s">
        <v>93</v>
      </c>
      <c r="E48" s="55"/>
    </row>
    <row r="49" ht="15.75" customHeight="1">
      <c r="A49" s="44" t="s">
        <v>91</v>
      </c>
      <c r="B49" s="45" t="s">
        <v>105</v>
      </c>
      <c r="C49" s="46">
        <v>275.0</v>
      </c>
      <c r="D49" s="19" t="s">
        <v>93</v>
      </c>
      <c r="E49" s="47"/>
    </row>
    <row r="50" ht="15.75" customHeight="1">
      <c r="A50" s="49" t="s">
        <v>91</v>
      </c>
      <c r="B50" s="50" t="s">
        <v>107</v>
      </c>
      <c r="C50" s="52">
        <v>30.0</v>
      </c>
      <c r="D50" s="54" t="s">
        <v>93</v>
      </c>
      <c r="E50" s="55"/>
    </row>
    <row r="51" ht="15.75" customHeight="1">
      <c r="A51" s="44" t="s">
        <v>91</v>
      </c>
      <c r="B51" s="45" t="s">
        <v>108</v>
      </c>
      <c r="C51" s="46">
        <v>25.0</v>
      </c>
      <c r="D51" s="19" t="s">
        <v>93</v>
      </c>
      <c r="E51" s="47" t="s">
        <v>100</v>
      </c>
    </row>
    <row r="52" ht="15.75" customHeight="1">
      <c r="A52" s="49" t="s">
        <v>91</v>
      </c>
      <c r="B52" s="50" t="s">
        <v>109</v>
      </c>
      <c r="C52" s="52">
        <v>135.0</v>
      </c>
      <c r="D52" s="54" t="s">
        <v>93</v>
      </c>
      <c r="E52" s="55" t="s">
        <v>100</v>
      </c>
    </row>
    <row r="53" ht="15.75" customHeight="1">
      <c r="A53" s="44" t="s">
        <v>91</v>
      </c>
      <c r="B53" s="45" t="s">
        <v>110</v>
      </c>
      <c r="C53" s="46">
        <v>35.0</v>
      </c>
      <c r="D53" s="19" t="s">
        <v>93</v>
      </c>
      <c r="E53" s="47" t="s">
        <v>100</v>
      </c>
    </row>
    <row r="54" ht="15.75" customHeight="1">
      <c r="A54" s="49" t="s">
        <v>91</v>
      </c>
      <c r="B54" s="50" t="s">
        <v>111</v>
      </c>
      <c r="C54" s="52">
        <v>65.0</v>
      </c>
      <c r="D54" s="54" t="s">
        <v>93</v>
      </c>
      <c r="E54" s="55" t="s">
        <v>100</v>
      </c>
    </row>
    <row r="55" ht="15.75" customHeight="1">
      <c r="A55" s="44" t="s">
        <v>91</v>
      </c>
      <c r="B55" s="45" t="s">
        <v>112</v>
      </c>
      <c r="C55" s="46">
        <v>45.0</v>
      </c>
      <c r="D55" s="19" t="s">
        <v>93</v>
      </c>
      <c r="E55" s="47" t="s">
        <v>100</v>
      </c>
    </row>
    <row r="56" ht="15.75" customHeight="1">
      <c r="A56" s="49" t="s">
        <v>91</v>
      </c>
      <c r="B56" s="50" t="s">
        <v>113</v>
      </c>
      <c r="C56" s="52">
        <v>25.0</v>
      </c>
      <c r="D56" s="54" t="s">
        <v>93</v>
      </c>
      <c r="E56" s="55" t="s">
        <v>100</v>
      </c>
    </row>
    <row r="57" ht="15.75" customHeight="1">
      <c r="A57" s="44" t="s">
        <v>91</v>
      </c>
      <c r="B57" s="45" t="s">
        <v>114</v>
      </c>
      <c r="C57" s="46">
        <v>85.0</v>
      </c>
      <c r="D57" s="19" t="s">
        <v>93</v>
      </c>
      <c r="E57" s="47"/>
    </row>
    <row r="58" ht="15.75" customHeight="1">
      <c r="A58" s="49" t="s">
        <v>91</v>
      </c>
      <c r="B58" s="50" t="s">
        <v>115</v>
      </c>
      <c r="C58" s="52">
        <v>25.0</v>
      </c>
      <c r="D58" s="54" t="s">
        <v>93</v>
      </c>
      <c r="E58" s="55"/>
    </row>
    <row r="59" ht="15.75" customHeight="1">
      <c r="A59" s="44" t="s">
        <v>116</v>
      </c>
      <c r="B59" s="45" t="s">
        <v>117</v>
      </c>
      <c r="C59" s="46">
        <v>265.0</v>
      </c>
      <c r="D59" s="19" t="s">
        <v>93</v>
      </c>
      <c r="E59" s="47" t="s">
        <v>118</v>
      </c>
    </row>
    <row r="60" ht="15.75" customHeight="1">
      <c r="A60" s="49" t="s">
        <v>116</v>
      </c>
      <c r="B60" s="50" t="s">
        <v>117</v>
      </c>
      <c r="C60" s="52">
        <v>900.0</v>
      </c>
      <c r="D60" s="54" t="s">
        <v>119</v>
      </c>
      <c r="E60" s="55" t="s">
        <v>118</v>
      </c>
    </row>
    <row r="61" ht="15.75" customHeight="1">
      <c r="A61" s="44" t="s">
        <v>116</v>
      </c>
      <c r="B61" s="45" t="s">
        <v>117</v>
      </c>
      <c r="C61" s="46">
        <v>1950.0</v>
      </c>
      <c r="D61" s="19" t="s">
        <v>120</v>
      </c>
      <c r="E61" s="47" t="s">
        <v>118</v>
      </c>
    </row>
    <row r="62" ht="15.75" customHeight="1">
      <c r="A62" s="49" t="s">
        <v>116</v>
      </c>
      <c r="B62" s="50" t="s">
        <v>121</v>
      </c>
      <c r="C62" s="52">
        <v>340.0</v>
      </c>
      <c r="D62" s="54" t="s">
        <v>93</v>
      </c>
      <c r="E62" s="55" t="s">
        <v>118</v>
      </c>
    </row>
    <row r="63" ht="15.75" customHeight="1">
      <c r="A63" s="44" t="s">
        <v>116</v>
      </c>
      <c r="B63" s="45" t="s">
        <v>121</v>
      </c>
      <c r="C63" s="46">
        <v>1200.0</v>
      </c>
      <c r="D63" s="19" t="s">
        <v>119</v>
      </c>
      <c r="E63" s="47" t="s">
        <v>118</v>
      </c>
    </row>
    <row r="64" ht="15.75" customHeight="1">
      <c r="A64" s="49" t="s">
        <v>116</v>
      </c>
      <c r="B64" s="50" t="s">
        <v>121</v>
      </c>
      <c r="C64" s="52">
        <v>2400.0</v>
      </c>
      <c r="D64" s="54" t="s">
        <v>120</v>
      </c>
      <c r="E64" s="55" t="s">
        <v>118</v>
      </c>
    </row>
    <row r="65" ht="15.75" customHeight="1">
      <c r="A65" s="44" t="s">
        <v>116</v>
      </c>
      <c r="B65" s="45" t="s">
        <v>122</v>
      </c>
      <c r="C65" s="46">
        <v>325.0</v>
      </c>
      <c r="D65" s="19" t="s">
        <v>93</v>
      </c>
      <c r="E65" s="47" t="s">
        <v>118</v>
      </c>
    </row>
    <row r="66" ht="15.75" customHeight="1">
      <c r="A66" s="49" t="s">
        <v>116</v>
      </c>
      <c r="B66" s="50" t="s">
        <v>122</v>
      </c>
      <c r="C66" s="52">
        <v>900.0</v>
      </c>
      <c r="D66" s="54" t="s">
        <v>119</v>
      </c>
      <c r="E66" s="55" t="s">
        <v>118</v>
      </c>
    </row>
    <row r="67" ht="15.75" customHeight="1">
      <c r="A67" s="44" t="s">
        <v>116</v>
      </c>
      <c r="B67" s="45" t="s">
        <v>122</v>
      </c>
      <c r="C67" s="46">
        <v>2200.0</v>
      </c>
      <c r="D67" s="19" t="s">
        <v>120</v>
      </c>
      <c r="E67" s="47" t="s">
        <v>118</v>
      </c>
    </row>
    <row r="68" ht="15.75" customHeight="1">
      <c r="A68" s="49" t="s">
        <v>116</v>
      </c>
      <c r="B68" s="50" t="s">
        <v>124</v>
      </c>
      <c r="C68" s="52">
        <v>450.0</v>
      </c>
      <c r="D68" s="54" t="s">
        <v>93</v>
      </c>
      <c r="E68" s="55" t="s">
        <v>118</v>
      </c>
    </row>
    <row r="69" ht="15.75" customHeight="1">
      <c r="A69" s="44" t="s">
        <v>116</v>
      </c>
      <c r="B69" s="45" t="s">
        <v>124</v>
      </c>
      <c r="C69" s="46">
        <v>1500.0</v>
      </c>
      <c r="D69" s="19" t="s">
        <v>119</v>
      </c>
      <c r="E69" s="47" t="s">
        <v>118</v>
      </c>
    </row>
    <row r="70" ht="15.75" customHeight="1">
      <c r="A70" s="49" t="s">
        <v>116</v>
      </c>
      <c r="B70" s="50" t="s">
        <v>124</v>
      </c>
      <c r="C70" s="52">
        <v>3400.0</v>
      </c>
      <c r="D70" s="54" t="s">
        <v>120</v>
      </c>
      <c r="E70" s="55" t="s">
        <v>118</v>
      </c>
    </row>
    <row r="71" ht="15.75" customHeight="1">
      <c r="A71" s="44" t="s">
        <v>116</v>
      </c>
      <c r="B71" s="45" t="s">
        <v>125</v>
      </c>
      <c r="C71" s="46">
        <v>550.0</v>
      </c>
      <c r="D71" s="19" t="s">
        <v>93</v>
      </c>
      <c r="E71" s="47" t="s">
        <v>118</v>
      </c>
    </row>
    <row r="72" ht="15.75" customHeight="1">
      <c r="A72" s="49" t="s">
        <v>116</v>
      </c>
      <c r="B72" s="50" t="s">
        <v>125</v>
      </c>
      <c r="C72" s="52">
        <v>1900.0</v>
      </c>
      <c r="D72" s="54" t="s">
        <v>119</v>
      </c>
      <c r="E72" s="55" t="s">
        <v>118</v>
      </c>
    </row>
    <row r="73" ht="15.75" customHeight="1">
      <c r="A73" s="44" t="s">
        <v>116</v>
      </c>
      <c r="B73" s="45" t="s">
        <v>125</v>
      </c>
      <c r="C73" s="46">
        <v>5400.0</v>
      </c>
      <c r="D73" s="19" t="s">
        <v>120</v>
      </c>
      <c r="E73" s="47" t="s">
        <v>118</v>
      </c>
    </row>
    <row r="74" ht="15.75" customHeight="1">
      <c r="A74" s="49" t="s">
        <v>116</v>
      </c>
      <c r="B74" s="50" t="s">
        <v>126</v>
      </c>
      <c r="C74" s="52">
        <v>750.0</v>
      </c>
      <c r="D74" s="54" t="s">
        <v>93</v>
      </c>
      <c r="E74" s="55" t="s">
        <v>118</v>
      </c>
    </row>
    <row r="75" ht="15.75" customHeight="1">
      <c r="A75" s="44" t="s">
        <v>116</v>
      </c>
      <c r="B75" s="45" t="s">
        <v>126</v>
      </c>
      <c r="C75" s="46">
        <v>2700.0</v>
      </c>
      <c r="D75" s="19" t="s">
        <v>119</v>
      </c>
      <c r="E75" s="47" t="s">
        <v>118</v>
      </c>
    </row>
    <row r="76" ht="15.75" customHeight="1">
      <c r="A76" s="49" t="s">
        <v>116</v>
      </c>
      <c r="B76" s="50" t="s">
        <v>126</v>
      </c>
      <c r="C76" s="52">
        <v>6300.0</v>
      </c>
      <c r="D76" s="54" t="s">
        <v>120</v>
      </c>
      <c r="E76" s="55" t="s">
        <v>118</v>
      </c>
    </row>
    <row r="77" ht="15.75" customHeight="1">
      <c r="A77" s="44" t="s">
        <v>116</v>
      </c>
      <c r="B77" s="45" t="s">
        <v>127</v>
      </c>
      <c r="C77" s="46">
        <v>250.0</v>
      </c>
      <c r="D77" s="19" t="s">
        <v>93</v>
      </c>
      <c r="E77" s="47" t="s">
        <v>118</v>
      </c>
    </row>
    <row r="78" ht="15.75" customHeight="1">
      <c r="A78" s="49" t="s">
        <v>116</v>
      </c>
      <c r="B78" s="50" t="s">
        <v>127</v>
      </c>
      <c r="C78" s="52">
        <v>700.0</v>
      </c>
      <c r="D78" s="54" t="s">
        <v>119</v>
      </c>
      <c r="E78" s="55" t="s">
        <v>118</v>
      </c>
    </row>
    <row r="79" ht="15.75" customHeight="1">
      <c r="A79" s="44" t="s">
        <v>116</v>
      </c>
      <c r="B79" s="45" t="s">
        <v>127</v>
      </c>
      <c r="C79" s="46">
        <v>2000.0</v>
      </c>
      <c r="D79" s="19" t="s">
        <v>120</v>
      </c>
      <c r="E79" s="47" t="s">
        <v>118</v>
      </c>
    </row>
    <row r="80" ht="15.75" customHeight="1">
      <c r="A80" s="49" t="s">
        <v>116</v>
      </c>
      <c r="B80" s="50" t="s">
        <v>129</v>
      </c>
      <c r="C80" s="52">
        <v>300.0</v>
      </c>
      <c r="D80" s="54" t="s">
        <v>93</v>
      </c>
      <c r="E80" s="55" t="s">
        <v>118</v>
      </c>
    </row>
    <row r="81" ht="15.75" customHeight="1">
      <c r="A81" s="44" t="s">
        <v>116</v>
      </c>
      <c r="B81" s="45" t="s">
        <v>129</v>
      </c>
      <c r="C81" s="46">
        <v>1100.0</v>
      </c>
      <c r="D81" s="19" t="s">
        <v>119</v>
      </c>
      <c r="E81" s="47" t="s">
        <v>118</v>
      </c>
    </row>
    <row r="82" ht="15.75" customHeight="1">
      <c r="A82" s="49" t="s">
        <v>116</v>
      </c>
      <c r="B82" s="50" t="s">
        <v>129</v>
      </c>
      <c r="C82" s="52">
        <v>2600.0</v>
      </c>
      <c r="D82" s="54" t="s">
        <v>120</v>
      </c>
      <c r="E82" s="55" t="s">
        <v>118</v>
      </c>
    </row>
    <row r="83" ht="15.75" customHeight="1">
      <c r="A83" s="44" t="s">
        <v>116</v>
      </c>
      <c r="B83" s="45" t="s">
        <v>130</v>
      </c>
      <c r="C83" s="46">
        <v>200.0</v>
      </c>
      <c r="D83" s="19" t="s">
        <v>93</v>
      </c>
      <c r="E83" s="47" t="s">
        <v>118</v>
      </c>
    </row>
    <row r="84" ht="15.75" customHeight="1">
      <c r="A84" s="49" t="s">
        <v>116</v>
      </c>
      <c r="B84" s="50" t="s">
        <v>130</v>
      </c>
      <c r="C84" s="52">
        <v>800.0</v>
      </c>
      <c r="D84" s="54" t="s">
        <v>119</v>
      </c>
      <c r="E84" s="55" t="s">
        <v>118</v>
      </c>
    </row>
    <row r="85" ht="15.75" customHeight="1">
      <c r="A85" s="44" t="s">
        <v>116</v>
      </c>
      <c r="B85" s="45" t="s">
        <v>130</v>
      </c>
      <c r="C85" s="46">
        <v>2000.0</v>
      </c>
      <c r="D85" s="19" t="s">
        <v>120</v>
      </c>
      <c r="E85" s="47" t="s">
        <v>118</v>
      </c>
    </row>
    <row r="86" ht="15.75" customHeight="1">
      <c r="A86" s="49" t="s">
        <v>116</v>
      </c>
      <c r="B86" s="50" t="s">
        <v>131</v>
      </c>
      <c r="C86" s="52">
        <v>575.0</v>
      </c>
      <c r="D86" s="54" t="s">
        <v>93</v>
      </c>
      <c r="E86" s="55" t="s">
        <v>118</v>
      </c>
    </row>
    <row r="87" ht="15.75" customHeight="1">
      <c r="A87" s="44" t="s">
        <v>116</v>
      </c>
      <c r="B87" s="45" t="s">
        <v>131</v>
      </c>
      <c r="C87" s="46">
        <v>2300.0</v>
      </c>
      <c r="D87" s="19" t="s">
        <v>119</v>
      </c>
      <c r="E87" s="47" t="s">
        <v>118</v>
      </c>
    </row>
    <row r="88" ht="15.75" customHeight="1">
      <c r="A88" s="49" t="s">
        <v>116</v>
      </c>
      <c r="B88" s="50" t="s">
        <v>131</v>
      </c>
      <c r="C88" s="52">
        <v>4800.0</v>
      </c>
      <c r="D88" s="54" t="s">
        <v>120</v>
      </c>
      <c r="E88" s="55" t="s">
        <v>118</v>
      </c>
    </row>
    <row r="89" ht="15.75" customHeight="1">
      <c r="A89" s="44" t="s">
        <v>116</v>
      </c>
      <c r="B89" s="45" t="s">
        <v>132</v>
      </c>
      <c r="C89" s="46">
        <v>115.0</v>
      </c>
      <c r="D89" s="19" t="s">
        <v>93</v>
      </c>
      <c r="E89" s="47" t="s">
        <v>118</v>
      </c>
    </row>
    <row r="90" ht="15.75" customHeight="1">
      <c r="A90" s="49" t="s">
        <v>116</v>
      </c>
      <c r="B90" s="50" t="s">
        <v>132</v>
      </c>
      <c r="C90" s="52">
        <v>350.0</v>
      </c>
      <c r="D90" s="54" t="s">
        <v>119</v>
      </c>
      <c r="E90" s="55" t="s">
        <v>118</v>
      </c>
    </row>
    <row r="91" ht="15.75" customHeight="1">
      <c r="A91" s="44" t="s">
        <v>116</v>
      </c>
      <c r="B91" s="45" t="s">
        <v>132</v>
      </c>
      <c r="C91" s="46">
        <v>500.0</v>
      </c>
      <c r="D91" s="19" t="s">
        <v>120</v>
      </c>
      <c r="E91" s="47" t="s">
        <v>118</v>
      </c>
    </row>
    <row r="92" ht="15.75" customHeight="1">
      <c r="A92" s="49" t="s">
        <v>116</v>
      </c>
      <c r="B92" s="50" t="s">
        <v>134</v>
      </c>
      <c r="C92" s="52">
        <v>120.0</v>
      </c>
      <c r="D92" s="54" t="s">
        <v>93</v>
      </c>
      <c r="E92" s="55" t="s">
        <v>118</v>
      </c>
    </row>
    <row r="93" ht="15.75" customHeight="1">
      <c r="A93" s="44" t="s">
        <v>116</v>
      </c>
      <c r="B93" s="45" t="s">
        <v>134</v>
      </c>
      <c r="C93" s="46">
        <v>295.0</v>
      </c>
      <c r="D93" s="19" t="s">
        <v>119</v>
      </c>
      <c r="E93" s="47" t="s">
        <v>118</v>
      </c>
    </row>
    <row r="94" ht="15.75" customHeight="1">
      <c r="A94" s="49" t="s">
        <v>116</v>
      </c>
      <c r="B94" s="50" t="s">
        <v>134</v>
      </c>
      <c r="C94" s="52">
        <v>400.0</v>
      </c>
      <c r="D94" s="54" t="s">
        <v>120</v>
      </c>
      <c r="E94" s="55" t="s">
        <v>118</v>
      </c>
    </row>
    <row r="95" ht="15.75" customHeight="1">
      <c r="A95" s="44" t="s">
        <v>116</v>
      </c>
      <c r="B95" s="45" t="s">
        <v>135</v>
      </c>
      <c r="C95" s="46">
        <v>150.0</v>
      </c>
      <c r="D95" s="19" t="s">
        <v>93</v>
      </c>
      <c r="E95" s="47" t="s">
        <v>118</v>
      </c>
    </row>
    <row r="96" ht="15.75" customHeight="1">
      <c r="A96" s="49" t="s">
        <v>116</v>
      </c>
      <c r="B96" s="50" t="s">
        <v>135</v>
      </c>
      <c r="C96" s="52">
        <v>375.0</v>
      </c>
      <c r="D96" s="54" t="s">
        <v>119</v>
      </c>
      <c r="E96" s="55" t="s">
        <v>118</v>
      </c>
    </row>
    <row r="97" ht="15.75" customHeight="1">
      <c r="A97" s="44" t="s">
        <v>116</v>
      </c>
      <c r="B97" s="45" t="s">
        <v>135</v>
      </c>
      <c r="C97" s="46">
        <v>625.0</v>
      </c>
      <c r="D97" s="19" t="s">
        <v>120</v>
      </c>
      <c r="E97" s="47" t="s">
        <v>118</v>
      </c>
    </row>
    <row r="98" ht="15.75" customHeight="1">
      <c r="A98" s="49" t="s">
        <v>116</v>
      </c>
      <c r="B98" s="50" t="s">
        <v>136</v>
      </c>
      <c r="C98" s="52">
        <v>200.0</v>
      </c>
      <c r="D98" s="54" t="s">
        <v>93</v>
      </c>
      <c r="E98" s="55" t="s">
        <v>118</v>
      </c>
    </row>
    <row r="99" ht="15.75" customHeight="1">
      <c r="A99" s="44" t="s">
        <v>116</v>
      </c>
      <c r="B99" s="45" t="s">
        <v>136</v>
      </c>
      <c r="C99" s="46">
        <v>475.0</v>
      </c>
      <c r="D99" s="19" t="s">
        <v>119</v>
      </c>
      <c r="E99" s="47" t="s">
        <v>118</v>
      </c>
    </row>
    <row r="100" ht="15.75" customHeight="1">
      <c r="A100" s="49" t="s">
        <v>116</v>
      </c>
      <c r="B100" s="50" t="s">
        <v>136</v>
      </c>
      <c r="C100" s="52">
        <v>850.0</v>
      </c>
      <c r="D100" s="54" t="s">
        <v>120</v>
      </c>
      <c r="E100" s="55" t="s">
        <v>118</v>
      </c>
    </row>
    <row r="101" ht="15.75" customHeight="1">
      <c r="A101" s="44" t="s">
        <v>116</v>
      </c>
      <c r="B101" s="45" t="s">
        <v>137</v>
      </c>
      <c r="C101" s="46">
        <v>250.0</v>
      </c>
      <c r="D101" s="19" t="s">
        <v>93</v>
      </c>
      <c r="E101" s="47" t="s">
        <v>118</v>
      </c>
    </row>
    <row r="102" ht="15.75" customHeight="1">
      <c r="A102" s="49" t="s">
        <v>116</v>
      </c>
      <c r="B102" s="50" t="s">
        <v>137</v>
      </c>
      <c r="C102" s="52">
        <v>750.0</v>
      </c>
      <c r="D102" s="54" t="s">
        <v>119</v>
      </c>
      <c r="E102" s="55" t="s">
        <v>118</v>
      </c>
    </row>
    <row r="103" ht="15.75" customHeight="1">
      <c r="A103" s="44" t="s">
        <v>116</v>
      </c>
      <c r="B103" s="45" t="s">
        <v>137</v>
      </c>
      <c r="C103" s="46">
        <v>1300.0</v>
      </c>
      <c r="D103" s="19" t="s">
        <v>120</v>
      </c>
      <c r="E103" s="47" t="s">
        <v>118</v>
      </c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1:C11"/>
    <mergeCell ref="B13:C13"/>
    <mergeCell ref="A14:E14"/>
    <mergeCell ref="A16:E16"/>
    <mergeCell ref="A19:E19"/>
    <mergeCell ref="A21:E21"/>
    <mergeCell ref="A1:E1"/>
    <mergeCell ref="A2:E2"/>
    <mergeCell ref="A4:E4"/>
    <mergeCell ref="A7:E7"/>
    <mergeCell ref="B8:C8"/>
    <mergeCell ref="B9:C9"/>
    <mergeCell ref="B10:C10"/>
  </mergeCells>
  <printOptions/>
  <pageMargins bottom="1.0" footer="0.0" header="0.0" left="0.75" right="0.75" top="1.0"/>
  <pageSetup orientation="landscape"/>
  <drawing r:id="rId1"/>
</worksheet>
</file>